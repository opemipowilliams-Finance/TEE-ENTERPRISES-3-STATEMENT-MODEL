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004F6B-E20B-4CEE-84C7-E500739EFAA6}" xr6:coauthVersionLast="47" xr6:coauthVersionMax="47" xr10:uidLastSave="{00000000-0000-0000-0000-000000000000}"/>
  <bookViews>
    <workbookView xWindow="-108" yWindow="-108" windowWidth="23256" windowHeight="12456" activeTab="4" xr2:uid="{EB2CF36E-7A28-4DE7-877A-5308D14A07F9}"/>
  </bookViews>
  <sheets>
    <sheet name="Input" sheetId="1" r:id="rId1"/>
    <sheet name="Workings" sheetId="2" r:id="rId2"/>
    <sheet name="Income Statement" sheetId="3" r:id="rId3"/>
    <sheet name="Statement of Cash Flows" sheetId="4" r:id="rId4"/>
    <sheet name="SOFP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4" l="1"/>
  <c r="K15" i="4"/>
  <c r="L15" i="4"/>
  <c r="M15" i="4"/>
  <c r="N15" i="4"/>
  <c r="I15" i="4"/>
  <c r="I29" i="5"/>
  <c r="J29" i="5"/>
  <c r="K29" i="5"/>
  <c r="L29" i="5"/>
  <c r="M29" i="5"/>
  <c r="N29" i="5"/>
  <c r="L17" i="3"/>
  <c r="M17" i="3"/>
  <c r="N17" i="3"/>
  <c r="D118" i="1"/>
  <c r="K17" i="3" l="1"/>
  <c r="J17" i="3"/>
  <c r="J30" i="5" s="1"/>
  <c r="N30" i="5"/>
  <c r="J80" i="2"/>
  <c r="J17" i="5" s="1"/>
  <c r="K13" i="4" s="1"/>
  <c r="K80" i="2"/>
  <c r="L80" i="2"/>
  <c r="L17" i="5" s="1"/>
  <c r="L13" i="4" s="1"/>
  <c r="M80" i="2"/>
  <c r="N80" i="2"/>
  <c r="N17" i="5" s="1"/>
  <c r="I80" i="2"/>
  <c r="K17" i="5"/>
  <c r="M17" i="5"/>
  <c r="J79" i="2"/>
  <c r="K79" i="2"/>
  <c r="L79" i="2"/>
  <c r="M79" i="2"/>
  <c r="N79" i="2"/>
  <c r="J78" i="2"/>
  <c r="K78" i="2"/>
  <c r="L78" i="2"/>
  <c r="M78" i="2"/>
  <c r="M16" i="5" s="1"/>
  <c r="N11" i="4" s="1"/>
  <c r="N78" i="2"/>
  <c r="N16" i="5" s="1"/>
  <c r="J16" i="5"/>
  <c r="J11" i="4" s="1"/>
  <c r="K16" i="5"/>
  <c r="L11" i="4" s="1"/>
  <c r="L16" i="5"/>
  <c r="M11" i="4" s="1"/>
  <c r="J12" i="3"/>
  <c r="K12" i="3"/>
  <c r="L12" i="3"/>
  <c r="L9" i="4" s="1"/>
  <c r="M12" i="3"/>
  <c r="N12" i="3"/>
  <c r="J9" i="4"/>
  <c r="K9" i="4"/>
  <c r="M9" i="4"/>
  <c r="N9" i="4"/>
  <c r="J26" i="4"/>
  <c r="K26" i="4"/>
  <c r="L26" i="4"/>
  <c r="M26" i="4"/>
  <c r="N26" i="4"/>
  <c r="J27" i="4"/>
  <c r="J29" i="4" s="1"/>
  <c r="K27" i="4"/>
  <c r="L27" i="4"/>
  <c r="L29" i="4" s="1"/>
  <c r="M27" i="4"/>
  <c r="N27" i="4"/>
  <c r="K29" i="4"/>
  <c r="M29" i="4"/>
  <c r="I12" i="4"/>
  <c r="I11" i="4"/>
  <c r="I119" i="1"/>
  <c r="J21" i="4"/>
  <c r="K21" i="4"/>
  <c r="L21" i="4"/>
  <c r="M21" i="4"/>
  <c r="N21" i="4"/>
  <c r="J19" i="4"/>
  <c r="K19" i="4"/>
  <c r="L19" i="4"/>
  <c r="M19" i="4"/>
  <c r="N19" i="4"/>
  <c r="I19" i="4"/>
  <c r="M30" i="5" l="1"/>
  <c r="L30" i="5"/>
  <c r="M13" i="4"/>
  <c r="K11" i="4"/>
  <c r="N13" i="4"/>
  <c r="N29" i="4"/>
  <c r="J9" i="3" l="1"/>
  <c r="K9" i="3"/>
  <c r="L9" i="3"/>
  <c r="M9" i="3"/>
  <c r="N9" i="3"/>
  <c r="J8" i="3"/>
  <c r="K8" i="3"/>
  <c r="L8" i="3"/>
  <c r="M8" i="3"/>
  <c r="N8" i="3"/>
  <c r="I120" i="1"/>
  <c r="I70" i="2"/>
  <c r="J70" i="2"/>
  <c r="K70" i="2"/>
  <c r="L70" i="2"/>
  <c r="M70" i="2"/>
  <c r="N70" i="2"/>
  <c r="J69" i="2"/>
  <c r="K69" i="2"/>
  <c r="L69" i="2"/>
  <c r="M69" i="2"/>
  <c r="N69" i="2"/>
  <c r="I51" i="1"/>
  <c r="J51" i="1" s="1"/>
  <c r="K51" i="1" s="1"/>
  <c r="L51" i="1" s="1"/>
  <c r="M51" i="1" s="1"/>
  <c r="N51" i="1" s="1"/>
  <c r="I52" i="1"/>
  <c r="J52" i="1" s="1"/>
  <c r="K52" i="1" s="1"/>
  <c r="L52" i="1" s="1"/>
  <c r="M52" i="1" s="1"/>
  <c r="N52" i="1" s="1"/>
  <c r="I53" i="1"/>
  <c r="J53" i="1"/>
  <c r="K53" i="1"/>
  <c r="L53" i="1" s="1"/>
  <c r="M53" i="1" s="1"/>
  <c r="N53" i="1" s="1"/>
  <c r="I54" i="1"/>
  <c r="J54" i="1" s="1"/>
  <c r="K54" i="1" s="1"/>
  <c r="L54" i="1" s="1"/>
  <c r="M54" i="1" s="1"/>
  <c r="N54" i="1" s="1"/>
  <c r="I55" i="1"/>
  <c r="J55" i="1" s="1"/>
  <c r="K55" i="1" s="1"/>
  <c r="L55" i="1" s="1"/>
  <c r="M55" i="1" s="1"/>
  <c r="N55" i="1" s="1"/>
  <c r="J50" i="1"/>
  <c r="K50" i="1" s="1"/>
  <c r="L50" i="1" s="1"/>
  <c r="M50" i="1" s="1"/>
  <c r="N50" i="1" s="1"/>
  <c r="I33" i="1"/>
  <c r="J33" i="1" s="1"/>
  <c r="K33" i="1" s="1"/>
  <c r="L33" i="1" s="1"/>
  <c r="M33" i="1" s="1"/>
  <c r="N33" i="1" s="1"/>
  <c r="I34" i="1"/>
  <c r="J34" i="1"/>
  <c r="K34" i="1" s="1"/>
  <c r="L34" i="1" s="1"/>
  <c r="M34" i="1" s="1"/>
  <c r="N34" i="1" s="1"/>
  <c r="I35" i="1"/>
  <c r="J35" i="1"/>
  <c r="K35" i="1"/>
  <c r="L35" i="1"/>
  <c r="M35" i="1"/>
  <c r="N35" i="1" s="1"/>
  <c r="I36" i="1"/>
  <c r="J36" i="1" s="1"/>
  <c r="K36" i="1" s="1"/>
  <c r="L36" i="1" s="1"/>
  <c r="M36" i="1" s="1"/>
  <c r="N36" i="1" s="1"/>
  <c r="I37" i="1"/>
  <c r="J37" i="1" s="1"/>
  <c r="K37" i="1" s="1"/>
  <c r="L37" i="1" s="1"/>
  <c r="M37" i="1" s="1"/>
  <c r="N37" i="1" s="1"/>
  <c r="J32" i="1"/>
  <c r="K32" i="1" s="1"/>
  <c r="L32" i="1" s="1"/>
  <c r="M32" i="1" s="1"/>
  <c r="N32" i="1" s="1"/>
  <c r="I17" i="1"/>
  <c r="J17" i="1" s="1"/>
  <c r="K17" i="1" s="1"/>
  <c r="L17" i="1" s="1"/>
  <c r="M17" i="1" s="1"/>
  <c r="N17" i="1" s="1"/>
  <c r="I18" i="1"/>
  <c r="J18" i="1"/>
  <c r="K18" i="1" s="1"/>
  <c r="L18" i="1" s="1"/>
  <c r="M18" i="1" s="1"/>
  <c r="N18" i="1" s="1"/>
  <c r="I19" i="1"/>
  <c r="J19" i="1" s="1"/>
  <c r="K19" i="1" s="1"/>
  <c r="L19" i="1" s="1"/>
  <c r="M19" i="1" s="1"/>
  <c r="N19" i="1" s="1"/>
  <c r="I20" i="1"/>
  <c r="J20" i="1" s="1"/>
  <c r="K20" i="1" s="1"/>
  <c r="L20" i="1" s="1"/>
  <c r="M20" i="1" s="1"/>
  <c r="N20" i="1" s="1"/>
  <c r="I21" i="1"/>
  <c r="J21" i="1" s="1"/>
  <c r="K21" i="1" s="1"/>
  <c r="L21" i="1" s="1"/>
  <c r="M21" i="1" s="1"/>
  <c r="N21" i="1" s="1"/>
  <c r="J16" i="1"/>
  <c r="K16" i="1" s="1"/>
  <c r="L16" i="1" s="1"/>
  <c r="M16" i="1" s="1"/>
  <c r="N16" i="1" s="1"/>
  <c r="I148" i="2" l="1"/>
  <c r="J33" i="5"/>
  <c r="K33" i="5"/>
  <c r="L33" i="5"/>
  <c r="M33" i="5"/>
  <c r="N33" i="5"/>
  <c r="I33" i="5"/>
  <c r="I32" i="4"/>
  <c r="I13" i="5"/>
  <c r="J12" i="5"/>
  <c r="K12" i="5"/>
  <c r="L12" i="5"/>
  <c r="M12" i="5"/>
  <c r="N12" i="5"/>
  <c r="I12" i="5"/>
  <c r="J11" i="5"/>
  <c r="K11" i="5"/>
  <c r="L11" i="5"/>
  <c r="M11" i="5"/>
  <c r="N11" i="5"/>
  <c r="I11" i="5"/>
  <c r="J10" i="5"/>
  <c r="K10" i="5"/>
  <c r="L10" i="5"/>
  <c r="M10" i="5"/>
  <c r="N10" i="5"/>
  <c r="I10" i="5"/>
  <c r="J9" i="5"/>
  <c r="J13" i="5" s="1"/>
  <c r="K9" i="5"/>
  <c r="K13" i="5" s="1"/>
  <c r="L9" i="5"/>
  <c r="L13" i="5" s="1"/>
  <c r="M9" i="5"/>
  <c r="M13" i="5" s="1"/>
  <c r="N9" i="5"/>
  <c r="N13" i="5" s="1"/>
  <c r="I9" i="5"/>
  <c r="N4" i="5"/>
  <c r="M4" i="5"/>
  <c r="M5" i="5" s="1"/>
  <c r="L4" i="5"/>
  <c r="K4" i="5"/>
  <c r="J4" i="5"/>
  <c r="J5" i="5" s="1"/>
  <c r="I4" i="5"/>
  <c r="I5" i="5" s="1"/>
  <c r="N3" i="5"/>
  <c r="M3" i="5"/>
  <c r="L3" i="5"/>
  <c r="L5" i="5" s="1"/>
  <c r="K3" i="5"/>
  <c r="J3" i="5"/>
  <c r="I3" i="5"/>
  <c r="I27" i="4"/>
  <c r="J25" i="4"/>
  <c r="K25" i="4"/>
  <c r="L25" i="4"/>
  <c r="M25" i="4"/>
  <c r="N25" i="4"/>
  <c r="I25" i="4"/>
  <c r="I21" i="4"/>
  <c r="I5" i="4"/>
  <c r="N4" i="4"/>
  <c r="N5" i="4" s="1"/>
  <c r="M4" i="4"/>
  <c r="M5" i="4" s="1"/>
  <c r="L4" i="4"/>
  <c r="L5" i="4" s="1"/>
  <c r="K4" i="4"/>
  <c r="K5" i="4" s="1"/>
  <c r="J4" i="4"/>
  <c r="J5" i="4" s="1"/>
  <c r="I4" i="4"/>
  <c r="N3" i="4"/>
  <c r="M3" i="4"/>
  <c r="L3" i="4"/>
  <c r="K3" i="4"/>
  <c r="J3" i="4"/>
  <c r="I3" i="4"/>
  <c r="J13" i="3"/>
  <c r="K13" i="3"/>
  <c r="L13" i="3"/>
  <c r="M13" i="3"/>
  <c r="N13" i="3"/>
  <c r="I13" i="3"/>
  <c r="J4" i="3"/>
  <c r="K4" i="3"/>
  <c r="L4" i="3"/>
  <c r="M4" i="3"/>
  <c r="N4" i="3"/>
  <c r="I4" i="3"/>
  <c r="J3" i="3"/>
  <c r="K3" i="3"/>
  <c r="L3" i="3"/>
  <c r="M3" i="3"/>
  <c r="N3" i="3"/>
  <c r="I3" i="3"/>
  <c r="J145" i="2"/>
  <c r="J144" i="2"/>
  <c r="K144" i="2"/>
  <c r="L144" i="2"/>
  <c r="M144" i="2"/>
  <c r="N144" i="2"/>
  <c r="J143" i="2"/>
  <c r="K143" i="2"/>
  <c r="K145" i="2" s="1"/>
  <c r="L143" i="2" s="1"/>
  <c r="L145" i="2" s="1"/>
  <c r="M143" i="2" s="1"/>
  <c r="M145" i="2" s="1"/>
  <c r="N143" i="2" s="1"/>
  <c r="N145" i="2" s="1"/>
  <c r="I145" i="2"/>
  <c r="I144" i="2"/>
  <c r="I143" i="2"/>
  <c r="I136" i="2"/>
  <c r="J136" i="2"/>
  <c r="K136" i="2"/>
  <c r="L136" i="2"/>
  <c r="M136" i="2"/>
  <c r="N136" i="2"/>
  <c r="I135" i="2"/>
  <c r="J131" i="2"/>
  <c r="K131" i="2"/>
  <c r="L131" i="2"/>
  <c r="M131" i="2"/>
  <c r="N131" i="2"/>
  <c r="I131" i="2"/>
  <c r="J130" i="2"/>
  <c r="K130" i="2"/>
  <c r="L130" i="2"/>
  <c r="M130" i="2"/>
  <c r="N130" i="2"/>
  <c r="J129" i="2"/>
  <c r="K129" i="2"/>
  <c r="L129" i="2"/>
  <c r="M129" i="2"/>
  <c r="N129" i="2"/>
  <c r="J128" i="2"/>
  <c r="K128" i="2"/>
  <c r="L128" i="2"/>
  <c r="M128" i="2"/>
  <c r="N128" i="2"/>
  <c r="J127" i="2"/>
  <c r="K127" i="2"/>
  <c r="L127" i="2"/>
  <c r="M127" i="2"/>
  <c r="N127" i="2"/>
  <c r="I130" i="2"/>
  <c r="I129" i="2"/>
  <c r="I128" i="2"/>
  <c r="I127" i="2"/>
  <c r="J117" i="2"/>
  <c r="K117" i="2"/>
  <c r="L117" i="2"/>
  <c r="M117" i="2"/>
  <c r="N117" i="2"/>
  <c r="I117" i="2"/>
  <c r="J108" i="2"/>
  <c r="J123" i="2" s="1"/>
  <c r="K108" i="2"/>
  <c r="K123" i="2" s="1"/>
  <c r="L108" i="2"/>
  <c r="L123" i="2" s="1"/>
  <c r="M108" i="2"/>
  <c r="M123" i="2" s="1"/>
  <c r="N108" i="2"/>
  <c r="N123" i="2" s="1"/>
  <c r="J107" i="2"/>
  <c r="K107" i="2"/>
  <c r="L107" i="2"/>
  <c r="M107" i="2"/>
  <c r="N107" i="2"/>
  <c r="I108" i="2"/>
  <c r="I123" i="2" s="1"/>
  <c r="I107" i="2"/>
  <c r="I106" i="2"/>
  <c r="J101" i="2"/>
  <c r="J122" i="2" s="1"/>
  <c r="K101" i="2"/>
  <c r="K122" i="2" s="1"/>
  <c r="L101" i="2"/>
  <c r="L122" i="2" s="1"/>
  <c r="M101" i="2"/>
  <c r="M122" i="2" s="1"/>
  <c r="N101" i="2"/>
  <c r="N122" i="2" s="1"/>
  <c r="J100" i="2"/>
  <c r="K100" i="2"/>
  <c r="L100" i="2"/>
  <c r="M100" i="2"/>
  <c r="N100" i="2"/>
  <c r="I101" i="2"/>
  <c r="I122" i="2" s="1"/>
  <c r="I100" i="2"/>
  <c r="I99" i="2"/>
  <c r="J93" i="2"/>
  <c r="J121" i="2" s="1"/>
  <c r="K93" i="2"/>
  <c r="K121" i="2" s="1"/>
  <c r="L93" i="2"/>
  <c r="L121" i="2" s="1"/>
  <c r="M93" i="2"/>
  <c r="M121" i="2" s="1"/>
  <c r="N93" i="2"/>
  <c r="N121" i="2" s="1"/>
  <c r="J92" i="2"/>
  <c r="K92" i="2"/>
  <c r="L92" i="2"/>
  <c r="M92" i="2"/>
  <c r="N92" i="2"/>
  <c r="I93" i="2"/>
  <c r="I121" i="2" s="1"/>
  <c r="I92" i="2"/>
  <c r="I91" i="2"/>
  <c r="J85" i="2"/>
  <c r="K85" i="2"/>
  <c r="L85" i="2"/>
  <c r="M85" i="2"/>
  <c r="N85" i="2"/>
  <c r="J86" i="2"/>
  <c r="J120" i="2" s="1"/>
  <c r="K86" i="2"/>
  <c r="K120" i="2" s="1"/>
  <c r="L86" i="2"/>
  <c r="L120" i="2" s="1"/>
  <c r="M86" i="2"/>
  <c r="M120" i="2" s="1"/>
  <c r="N86" i="2"/>
  <c r="N120" i="2" s="1"/>
  <c r="I86" i="2"/>
  <c r="I120" i="2" s="1"/>
  <c r="I85" i="2"/>
  <c r="I84" i="2"/>
  <c r="I64" i="2"/>
  <c r="J64" i="2"/>
  <c r="K64" i="2"/>
  <c r="L64" i="2"/>
  <c r="M64" i="2"/>
  <c r="N64" i="2"/>
  <c r="I65" i="2"/>
  <c r="J65" i="2"/>
  <c r="K65" i="2"/>
  <c r="L65" i="2"/>
  <c r="M65" i="2"/>
  <c r="N65" i="2"/>
  <c r="J63" i="2"/>
  <c r="K63" i="2"/>
  <c r="L63" i="2"/>
  <c r="M63" i="2"/>
  <c r="N63" i="2"/>
  <c r="I63" i="2"/>
  <c r="I45" i="2"/>
  <c r="J45" i="2"/>
  <c r="K45" i="2"/>
  <c r="L45" i="2"/>
  <c r="M45" i="2"/>
  <c r="N45" i="2"/>
  <c r="I46" i="2"/>
  <c r="J46" i="2"/>
  <c r="K46" i="2"/>
  <c r="L46" i="2"/>
  <c r="M46" i="2"/>
  <c r="N46" i="2"/>
  <c r="I47" i="2"/>
  <c r="J47" i="2"/>
  <c r="K47" i="2"/>
  <c r="L47" i="2"/>
  <c r="M47" i="2"/>
  <c r="N47" i="2"/>
  <c r="I48" i="2"/>
  <c r="J48" i="2"/>
  <c r="K48" i="2"/>
  <c r="L48" i="2"/>
  <c r="M48" i="2"/>
  <c r="N48" i="2"/>
  <c r="I49" i="2"/>
  <c r="J49" i="2"/>
  <c r="K49" i="2"/>
  <c r="L49" i="2"/>
  <c r="M49" i="2"/>
  <c r="N49" i="2"/>
  <c r="J44" i="2"/>
  <c r="K44" i="2"/>
  <c r="L44" i="2"/>
  <c r="M44" i="2"/>
  <c r="N44" i="2"/>
  <c r="I44" i="2"/>
  <c r="I30" i="2"/>
  <c r="J30" i="2"/>
  <c r="K30" i="2"/>
  <c r="L30" i="2"/>
  <c r="M30" i="2"/>
  <c r="N30" i="2"/>
  <c r="I26" i="2"/>
  <c r="J26" i="2"/>
  <c r="K26" i="2"/>
  <c r="L26" i="2"/>
  <c r="M26" i="2"/>
  <c r="N26" i="2"/>
  <c r="I27" i="2"/>
  <c r="J27" i="2"/>
  <c r="K27" i="2"/>
  <c r="L27" i="2"/>
  <c r="M27" i="2"/>
  <c r="N27" i="2"/>
  <c r="I28" i="2"/>
  <c r="J28" i="2"/>
  <c r="K28" i="2"/>
  <c r="L28" i="2"/>
  <c r="M28" i="2"/>
  <c r="N28" i="2"/>
  <c r="I29" i="2"/>
  <c r="J29" i="2"/>
  <c r="K29" i="2"/>
  <c r="L29" i="2"/>
  <c r="M29" i="2"/>
  <c r="N29" i="2"/>
  <c r="J25" i="2"/>
  <c r="K25" i="2"/>
  <c r="L25" i="2"/>
  <c r="M25" i="2"/>
  <c r="N25" i="2"/>
  <c r="I25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J36" i="2" s="1"/>
  <c r="K20" i="2"/>
  <c r="L20" i="2"/>
  <c r="M20" i="2"/>
  <c r="M36" i="2" s="1"/>
  <c r="N20" i="2"/>
  <c r="N36" i="2" s="1"/>
  <c r="J21" i="2"/>
  <c r="K21" i="2"/>
  <c r="L21" i="2"/>
  <c r="M21" i="2"/>
  <c r="N21" i="2"/>
  <c r="J22" i="2"/>
  <c r="K22" i="2"/>
  <c r="L22" i="2"/>
  <c r="M22" i="2"/>
  <c r="N22" i="2"/>
  <c r="I18" i="2"/>
  <c r="I19" i="2"/>
  <c r="I20" i="2"/>
  <c r="I21" i="2"/>
  <c r="I22" i="2"/>
  <c r="I17" i="2"/>
  <c r="I68" i="1"/>
  <c r="J68" i="1"/>
  <c r="K68" i="1"/>
  <c r="L68" i="1"/>
  <c r="M68" i="1"/>
  <c r="N68" i="1"/>
  <c r="I69" i="1"/>
  <c r="J69" i="1"/>
  <c r="K69" i="1"/>
  <c r="L69" i="1"/>
  <c r="M69" i="1"/>
  <c r="N69" i="1"/>
  <c r="J67" i="1"/>
  <c r="K67" i="1"/>
  <c r="L67" i="1"/>
  <c r="M67" i="1"/>
  <c r="N67" i="1"/>
  <c r="I67" i="1"/>
  <c r="I50" i="1"/>
  <c r="I32" i="1"/>
  <c r="I16" i="1"/>
  <c r="K5" i="5" l="1"/>
  <c r="N5" i="5"/>
  <c r="I5" i="3"/>
  <c r="K124" i="2"/>
  <c r="L124" i="2"/>
  <c r="N124" i="2"/>
  <c r="J124" i="2"/>
  <c r="I124" i="2"/>
  <c r="M124" i="2"/>
  <c r="K36" i="2"/>
  <c r="L36" i="2"/>
  <c r="I110" i="2"/>
  <c r="J106" i="2" s="1"/>
  <c r="J110" i="2" s="1"/>
  <c r="K106" i="2" s="1"/>
  <c r="K110" i="2" s="1"/>
  <c r="L106" i="2" s="1"/>
  <c r="L110" i="2" s="1"/>
  <c r="M106" i="2" s="1"/>
  <c r="M110" i="2" s="1"/>
  <c r="N106" i="2" s="1"/>
  <c r="N110" i="2" s="1"/>
  <c r="I103" i="2"/>
  <c r="J99" i="2" s="1"/>
  <c r="J103" i="2" s="1"/>
  <c r="K99" i="2" s="1"/>
  <c r="K103" i="2" s="1"/>
  <c r="L99" i="2" s="1"/>
  <c r="L103" i="2" s="1"/>
  <c r="M99" i="2" s="1"/>
  <c r="M103" i="2" s="1"/>
  <c r="N99" i="2" s="1"/>
  <c r="N103" i="2" s="1"/>
  <c r="I95" i="2"/>
  <c r="J91" i="2" s="1"/>
  <c r="J95" i="2" s="1"/>
  <c r="K91" i="2" s="1"/>
  <c r="K95" i="2" s="1"/>
  <c r="L91" i="2" s="1"/>
  <c r="L95" i="2" s="1"/>
  <c r="M91" i="2" s="1"/>
  <c r="M95" i="2" s="1"/>
  <c r="N91" i="2" s="1"/>
  <c r="N95" i="2" s="1"/>
  <c r="L66" i="2"/>
  <c r="I88" i="2"/>
  <c r="J84" i="2" s="1"/>
  <c r="J88" i="2" s="1"/>
  <c r="K84" i="2" s="1"/>
  <c r="M35" i="2"/>
  <c r="L56" i="2"/>
  <c r="M66" i="2"/>
  <c r="I37" i="2"/>
  <c r="J56" i="2"/>
  <c r="I53" i="2"/>
  <c r="I66" i="2"/>
  <c r="N66" i="2"/>
  <c r="J37" i="2"/>
  <c r="M33" i="2"/>
  <c r="N54" i="2"/>
  <c r="L53" i="2"/>
  <c r="K66" i="2"/>
  <c r="J66" i="2"/>
  <c r="J38" i="2"/>
  <c r="N35" i="2"/>
  <c r="M57" i="2"/>
  <c r="K56" i="2"/>
  <c r="I55" i="2"/>
  <c r="M53" i="2"/>
  <c r="I52" i="2"/>
  <c r="N52" i="2"/>
  <c r="K57" i="2"/>
  <c r="I56" i="2"/>
  <c r="M54" i="2"/>
  <c r="K53" i="2"/>
  <c r="M52" i="2"/>
  <c r="J57" i="2"/>
  <c r="N55" i="2"/>
  <c r="L54" i="2"/>
  <c r="J53" i="2"/>
  <c r="L52" i="2"/>
  <c r="I57" i="2"/>
  <c r="M55" i="2"/>
  <c r="K54" i="2"/>
  <c r="K52" i="2"/>
  <c r="N56" i="2"/>
  <c r="L55" i="2"/>
  <c r="J54" i="2"/>
  <c r="J52" i="2"/>
  <c r="M56" i="2"/>
  <c r="K55" i="2"/>
  <c r="I54" i="2"/>
  <c r="L57" i="2"/>
  <c r="N57" i="2"/>
  <c r="J55" i="2"/>
  <c r="N53" i="2"/>
  <c r="J33" i="2"/>
  <c r="I34" i="2"/>
  <c r="K33" i="2"/>
  <c r="L34" i="2"/>
  <c r="N38" i="2"/>
  <c r="K37" i="2"/>
  <c r="J34" i="2"/>
  <c r="L35" i="2"/>
  <c r="K38" i="2"/>
  <c r="J35" i="2"/>
  <c r="I36" i="2"/>
  <c r="N37" i="2"/>
  <c r="M34" i="2"/>
  <c r="M37" i="2"/>
  <c r="I35" i="2"/>
  <c r="I33" i="2"/>
  <c r="L38" i="2"/>
  <c r="I38" i="2"/>
  <c r="L33" i="2"/>
  <c r="K35" i="2"/>
  <c r="M38" i="2"/>
  <c r="N34" i="2"/>
  <c r="L37" i="2"/>
  <c r="K34" i="2"/>
  <c r="N33" i="2"/>
  <c r="J5" i="3" l="1"/>
  <c r="K88" i="2"/>
  <c r="L84" i="2" s="1"/>
  <c r="M39" i="2"/>
  <c r="I58" i="2"/>
  <c r="M58" i="2"/>
  <c r="K58" i="2"/>
  <c r="L58" i="2"/>
  <c r="J58" i="2"/>
  <c r="N58" i="2"/>
  <c r="K39" i="2"/>
  <c r="I39" i="2"/>
  <c r="I8" i="3" s="1"/>
  <c r="L39" i="2"/>
  <c r="J39" i="2"/>
  <c r="N39" i="2"/>
  <c r="I17" i="5" l="1"/>
  <c r="I9" i="3"/>
  <c r="I10" i="3" s="1"/>
  <c r="K10" i="3"/>
  <c r="J10" i="3"/>
  <c r="L10" i="3"/>
  <c r="M10" i="3"/>
  <c r="N10" i="3"/>
  <c r="K5" i="3"/>
  <c r="M28" i="5"/>
  <c r="M12" i="4" s="1"/>
  <c r="M14" i="4" s="1"/>
  <c r="K28" i="5"/>
  <c r="K12" i="4" s="1"/>
  <c r="K14" i="4" s="1"/>
  <c r="I79" i="2"/>
  <c r="I28" i="5" s="1"/>
  <c r="I78" i="2"/>
  <c r="I16" i="5" s="1"/>
  <c r="L28" i="5"/>
  <c r="N28" i="5"/>
  <c r="N12" i="4" s="1"/>
  <c r="N14" i="4" s="1"/>
  <c r="J28" i="5"/>
  <c r="J12" i="4" s="1"/>
  <c r="L88" i="2"/>
  <c r="M84" i="2" s="1"/>
  <c r="I69" i="2"/>
  <c r="J13" i="4" l="1"/>
  <c r="J14" i="4" s="1"/>
  <c r="I13" i="4"/>
  <c r="I14" i="4" s="1"/>
  <c r="L12" i="4"/>
  <c r="L14" i="4" s="1"/>
  <c r="L5" i="3"/>
  <c r="M71" i="2"/>
  <c r="M73" i="2" s="1"/>
  <c r="M11" i="3" s="1"/>
  <c r="L71" i="2"/>
  <c r="L73" i="2" s="1"/>
  <c r="L11" i="3" s="1"/>
  <c r="J71" i="2"/>
  <c r="J73" i="2" s="1"/>
  <c r="J11" i="3" s="1"/>
  <c r="I71" i="2"/>
  <c r="I73" i="2" s="1"/>
  <c r="I11" i="3" s="1"/>
  <c r="I12" i="3" s="1"/>
  <c r="M88" i="2"/>
  <c r="N84" i="2" s="1"/>
  <c r="N88" i="2" s="1"/>
  <c r="N71" i="2"/>
  <c r="N73" i="2" s="1"/>
  <c r="N11" i="3" s="1"/>
  <c r="K71" i="2"/>
  <c r="K73" i="2" s="1"/>
  <c r="K11" i="3" s="1"/>
  <c r="I14" i="3" l="1"/>
  <c r="I9" i="4"/>
  <c r="J14" i="3"/>
  <c r="L14" i="3"/>
  <c r="M14" i="3"/>
  <c r="K14" i="3"/>
  <c r="N14" i="3"/>
  <c r="M5" i="3"/>
  <c r="N5" i="3"/>
  <c r="D10" i="2" l="1"/>
  <c r="I3" i="2"/>
  <c r="I4" i="2" s="1"/>
  <c r="I96" i="1"/>
  <c r="J96" i="1"/>
  <c r="K96" i="1"/>
  <c r="L96" i="1"/>
  <c r="M96" i="1"/>
  <c r="N96" i="1"/>
  <c r="I97" i="1"/>
  <c r="J97" i="1"/>
  <c r="K97" i="1"/>
  <c r="L97" i="1"/>
  <c r="M97" i="1"/>
  <c r="N97" i="1"/>
  <c r="I98" i="1"/>
  <c r="J98" i="1"/>
  <c r="K98" i="1"/>
  <c r="L98" i="1"/>
  <c r="M98" i="1"/>
  <c r="N98" i="1"/>
  <c r="J95" i="1"/>
  <c r="K95" i="1"/>
  <c r="L95" i="1"/>
  <c r="M95" i="1"/>
  <c r="N95" i="1"/>
  <c r="I95" i="1"/>
  <c r="J120" i="1"/>
  <c r="J137" i="2" s="1"/>
  <c r="J15" i="3" s="1"/>
  <c r="J16" i="3" s="1"/>
  <c r="K120" i="1"/>
  <c r="K137" i="2" s="1"/>
  <c r="K15" i="3" s="1"/>
  <c r="K16" i="3" s="1"/>
  <c r="L120" i="1"/>
  <c r="L137" i="2" s="1"/>
  <c r="L15" i="3" s="1"/>
  <c r="L16" i="3" s="1"/>
  <c r="M120" i="1"/>
  <c r="M137" i="2" s="1"/>
  <c r="M15" i="3" s="1"/>
  <c r="M16" i="3" s="1"/>
  <c r="N120" i="1"/>
  <c r="N137" i="2" s="1"/>
  <c r="N15" i="3" s="1"/>
  <c r="N16" i="3" s="1"/>
  <c r="I137" i="2"/>
  <c r="J119" i="1"/>
  <c r="J121" i="1" s="1"/>
  <c r="J138" i="2" s="1"/>
  <c r="K119" i="1"/>
  <c r="K121" i="1" s="1"/>
  <c r="K138" i="2" s="1"/>
  <c r="L119" i="1"/>
  <c r="L121" i="1" s="1"/>
  <c r="L138" i="2" s="1"/>
  <c r="M119" i="1"/>
  <c r="M121" i="1" s="1"/>
  <c r="M138" i="2" s="1"/>
  <c r="N119" i="1"/>
  <c r="N121" i="1" s="1"/>
  <c r="N138" i="2" s="1"/>
  <c r="I121" i="1"/>
  <c r="I138" i="2" s="1"/>
  <c r="I26" i="4" s="1"/>
  <c r="I29" i="4" s="1"/>
  <c r="D114" i="1"/>
  <c r="D111" i="1"/>
  <c r="D110" i="1"/>
  <c r="D109" i="1"/>
  <c r="D96" i="1"/>
  <c r="D97" i="1"/>
  <c r="D98" i="1"/>
  <c r="D95" i="1"/>
  <c r="D86" i="1"/>
  <c r="I15" i="3" l="1"/>
  <c r="I16" i="3" s="1"/>
  <c r="I139" i="2"/>
  <c r="N16" i="4"/>
  <c r="M16" i="4"/>
  <c r="I5" i="2"/>
  <c r="J3" i="2"/>
  <c r="J4" i="2" s="1"/>
  <c r="L18" i="3" l="1"/>
  <c r="L149" i="2" s="1"/>
  <c r="L16" i="4"/>
  <c r="L31" i="4" s="1"/>
  <c r="J18" i="3"/>
  <c r="J149" i="2" s="1"/>
  <c r="J16" i="4"/>
  <c r="J31" i="4" s="1"/>
  <c r="J135" i="2"/>
  <c r="J139" i="2" s="1"/>
  <c r="I24" i="5"/>
  <c r="I25" i="5" s="1"/>
  <c r="M31" i="4"/>
  <c r="I17" i="3"/>
  <c r="N31" i="4"/>
  <c r="N18" i="3"/>
  <c r="N149" i="2" s="1"/>
  <c r="M18" i="3"/>
  <c r="M149" i="2" s="1"/>
  <c r="J5" i="2"/>
  <c r="K3" i="2"/>
  <c r="K4" i="2" s="1"/>
  <c r="I18" i="3" l="1"/>
  <c r="I149" i="2" s="1"/>
  <c r="I151" i="2" s="1"/>
  <c r="J148" i="2" s="1"/>
  <c r="J151" i="2" s="1"/>
  <c r="I30" i="5"/>
  <c r="K135" i="2"/>
  <c r="K139" i="2" s="1"/>
  <c r="J24" i="5"/>
  <c r="J25" i="5" s="1"/>
  <c r="K5" i="2"/>
  <c r="L3" i="2"/>
  <c r="L4" i="2" s="1"/>
  <c r="I35" i="5" l="1"/>
  <c r="I36" i="5" s="1"/>
  <c r="I38" i="5" s="1"/>
  <c r="L135" i="2"/>
  <c r="L139" i="2" s="1"/>
  <c r="K24" i="5"/>
  <c r="K25" i="5" s="1"/>
  <c r="K148" i="2"/>
  <c r="J35" i="5"/>
  <c r="J36" i="5" s="1"/>
  <c r="J38" i="5" s="1"/>
  <c r="M3" i="2"/>
  <c r="M4" i="2" s="1"/>
  <c r="L5" i="2"/>
  <c r="M135" i="2" l="1"/>
  <c r="M139" i="2" s="1"/>
  <c r="L24" i="5"/>
  <c r="L25" i="5" s="1"/>
  <c r="N3" i="2"/>
  <c r="N4" i="2" s="1"/>
  <c r="N5" i="2" s="1"/>
  <c r="M5" i="2"/>
  <c r="N135" i="2" l="1"/>
  <c r="N139" i="2" s="1"/>
  <c r="N24" i="5" s="1"/>
  <c r="N25" i="5" s="1"/>
  <c r="M24" i="5"/>
  <c r="M25" i="5" s="1"/>
  <c r="J5" i="1"/>
  <c r="K5" i="1"/>
  <c r="L5" i="1"/>
  <c r="M5" i="1"/>
  <c r="N5" i="1"/>
  <c r="I5" i="1"/>
  <c r="J4" i="1"/>
  <c r="K3" i="1" s="1"/>
  <c r="K4" i="1" s="1"/>
  <c r="L3" i="1" s="1"/>
  <c r="L4" i="1" s="1"/>
  <c r="M3" i="1" s="1"/>
  <c r="M4" i="1" s="1"/>
  <c r="N3" i="1" s="1"/>
  <c r="N4" i="1" s="1"/>
  <c r="I4" i="1"/>
  <c r="J3" i="1" s="1"/>
  <c r="I3" i="1"/>
  <c r="D10" i="1"/>
  <c r="I16" i="4" l="1"/>
  <c r="I31" i="4" s="1"/>
  <c r="I33" i="4" s="1"/>
  <c r="J32" i="4" s="1"/>
  <c r="J33" i="4" s="1"/>
  <c r="J18" i="5" s="1"/>
  <c r="I18" i="5" l="1"/>
  <c r="I19" i="5" s="1"/>
  <c r="I21" i="5" s="1"/>
  <c r="J19" i="5" l="1"/>
  <c r="J21" i="5" s="1"/>
  <c r="K32" i="4"/>
  <c r="K16" i="4" l="1"/>
  <c r="K31" i="4" s="1"/>
  <c r="K33" i="4" s="1"/>
  <c r="K18" i="3"/>
  <c r="K149" i="2" s="1"/>
  <c r="K151" i="2" s="1"/>
  <c r="K30" i="5"/>
  <c r="L148" i="2" l="1"/>
  <c r="L151" i="2" s="1"/>
  <c r="K35" i="5"/>
  <c r="K36" i="5" s="1"/>
  <c r="K38" i="5" s="1"/>
  <c r="K18" i="5"/>
  <c r="K19" i="5" s="1"/>
  <c r="K21" i="5" s="1"/>
  <c r="L32" i="4"/>
  <c r="L33" i="4" s="1"/>
  <c r="M32" i="4" l="1"/>
  <c r="M33" i="4" s="1"/>
  <c r="L18" i="5"/>
  <c r="L19" i="5" s="1"/>
  <c r="L21" i="5" s="1"/>
  <c r="L35" i="5"/>
  <c r="L36" i="5" s="1"/>
  <c r="L38" i="5" s="1"/>
  <c r="M148" i="2"/>
  <c r="M151" i="2" s="1"/>
  <c r="M35" i="5" l="1"/>
  <c r="M36" i="5" s="1"/>
  <c r="M38" i="5" s="1"/>
  <c r="N148" i="2"/>
  <c r="N151" i="2" s="1"/>
  <c r="N35" i="5" s="1"/>
  <c r="N36" i="5" s="1"/>
  <c r="N38" i="5" s="1"/>
  <c r="M18" i="5"/>
  <c r="M19" i="5" s="1"/>
  <c r="M21" i="5" s="1"/>
  <c r="N32" i="4"/>
  <c r="N33" i="4" s="1"/>
  <c r="N18" i="5" s="1"/>
  <c r="N19" i="5" s="1"/>
  <c r="N21" i="5" s="1"/>
</calcChain>
</file>

<file path=xl/sharedStrings.xml><?xml version="1.0" encoding="utf-8"?>
<sst xmlns="http://schemas.openxmlformats.org/spreadsheetml/2006/main" count="306" uniqueCount="140">
  <si>
    <t>TEE ENTERPRISES(TE)</t>
  </si>
  <si>
    <t>Number of Years</t>
  </si>
  <si>
    <t xml:space="preserve">Start Date </t>
  </si>
  <si>
    <t>End Date</t>
  </si>
  <si>
    <t>Days in A Year</t>
  </si>
  <si>
    <t>General Assumptions</t>
  </si>
  <si>
    <t>Model Start Date</t>
  </si>
  <si>
    <t>Years</t>
  </si>
  <si>
    <t>Model End Date</t>
  </si>
  <si>
    <t>Months in a Year</t>
  </si>
  <si>
    <t>Tax Rate</t>
  </si>
  <si>
    <t>REVENUE ASSUMPTIONS</t>
  </si>
  <si>
    <t>Pricing</t>
  </si>
  <si>
    <t>Adire</t>
  </si>
  <si>
    <t>Aso-Oke</t>
  </si>
  <si>
    <t>Plain Tees</t>
  </si>
  <si>
    <t>Jeans</t>
  </si>
  <si>
    <t>Crop Top</t>
  </si>
  <si>
    <t>Aprons</t>
  </si>
  <si>
    <t>Price Increase Rate</t>
  </si>
  <si>
    <t>Sales Volume</t>
  </si>
  <si>
    <t>Growth Rate</t>
  </si>
  <si>
    <t>DIRECT COST ASSUMPTIONS</t>
  </si>
  <si>
    <t>Costs</t>
  </si>
  <si>
    <t>Costs Increase Rate</t>
  </si>
  <si>
    <t>OPERATING EXPENSES</t>
  </si>
  <si>
    <t>Fixed Operating Expenses</t>
  </si>
  <si>
    <t>Rent</t>
  </si>
  <si>
    <t>Salaries</t>
  </si>
  <si>
    <t>Utilities</t>
  </si>
  <si>
    <t>Variable Operating Expenses</t>
  </si>
  <si>
    <t>Packaging</t>
  </si>
  <si>
    <t>Logisitics</t>
  </si>
  <si>
    <t>of revenue</t>
  </si>
  <si>
    <t>WORKING CAPITAL</t>
  </si>
  <si>
    <t>Receivables</t>
  </si>
  <si>
    <t>Payables</t>
  </si>
  <si>
    <t>Inventory</t>
  </si>
  <si>
    <t>days</t>
  </si>
  <si>
    <t>days of COGS</t>
  </si>
  <si>
    <t>CAPEX</t>
  </si>
  <si>
    <t>Furnitures and Fittings</t>
  </si>
  <si>
    <t>Motor Vehicle</t>
  </si>
  <si>
    <t>Clothing Equipment</t>
  </si>
  <si>
    <t>Industrial Sewing Machine</t>
  </si>
  <si>
    <t>Total</t>
  </si>
  <si>
    <t>Depreciation Rate</t>
  </si>
  <si>
    <t>Estimated Useful Life</t>
  </si>
  <si>
    <t>years</t>
  </si>
  <si>
    <t>CAPITAL STRUCTURE</t>
  </si>
  <si>
    <t>Total Funding Required</t>
  </si>
  <si>
    <t>Debt/Equity Ratio</t>
  </si>
  <si>
    <t>Debt</t>
  </si>
  <si>
    <t>Equity</t>
  </si>
  <si>
    <t>Total Funding Split</t>
  </si>
  <si>
    <t>DEBT</t>
  </si>
  <si>
    <t>Principal</t>
  </si>
  <si>
    <t>Cost of Debt(Kd)</t>
  </si>
  <si>
    <t>Repayment Term</t>
  </si>
  <si>
    <t>Annual Repayment</t>
  </si>
  <si>
    <t>Interest</t>
  </si>
  <si>
    <t>Volume</t>
  </si>
  <si>
    <t>REVENUE</t>
  </si>
  <si>
    <t>Price</t>
  </si>
  <si>
    <t>TOTAL REVENUE</t>
  </si>
  <si>
    <t>Costs Value</t>
  </si>
  <si>
    <t>TOTAL DIRECT COST</t>
  </si>
  <si>
    <t>TOTAL</t>
  </si>
  <si>
    <t>TOTAL OPEX</t>
  </si>
  <si>
    <t>Opening Balance</t>
  </si>
  <si>
    <t>Acquisitions</t>
  </si>
  <si>
    <t>Depreciation</t>
  </si>
  <si>
    <t>Disposal</t>
  </si>
  <si>
    <t>Closing Balance</t>
  </si>
  <si>
    <t>Motor Vehicles</t>
  </si>
  <si>
    <t>Total Acquisitions</t>
  </si>
  <si>
    <t>Depreciations</t>
  </si>
  <si>
    <t>Total Depreciations</t>
  </si>
  <si>
    <t>Total Closing Balance</t>
  </si>
  <si>
    <t>Draw Down On Loan</t>
  </si>
  <si>
    <t>Interest Charge</t>
  </si>
  <si>
    <t>Repayment</t>
  </si>
  <si>
    <t>EQUITY</t>
  </si>
  <si>
    <t>Additions</t>
  </si>
  <si>
    <t>RETAINED EARNINGS</t>
  </si>
  <si>
    <t xml:space="preserve">Opening Balance </t>
  </si>
  <si>
    <t>Profit For The Year</t>
  </si>
  <si>
    <t>Dividend</t>
  </si>
  <si>
    <t>INCOME STATEMENT</t>
  </si>
  <si>
    <t>Revenue</t>
  </si>
  <si>
    <t>Direct Cost</t>
  </si>
  <si>
    <t>Gross Profit</t>
  </si>
  <si>
    <t>Operating Expenses (OPEX)</t>
  </si>
  <si>
    <t>EBITDA</t>
  </si>
  <si>
    <t>Depreciation &amp; Amortization</t>
  </si>
  <si>
    <t>EBIT</t>
  </si>
  <si>
    <t>Interest Expenses</t>
  </si>
  <si>
    <t>Profit Before Tax</t>
  </si>
  <si>
    <t>Tax</t>
  </si>
  <si>
    <t>Profit After Tax</t>
  </si>
  <si>
    <t>CASHFLOW STATEMENT</t>
  </si>
  <si>
    <t>Operating Activities</t>
  </si>
  <si>
    <t>Changes in Working Capital:</t>
  </si>
  <si>
    <t>Changes in receivables from Customers</t>
  </si>
  <si>
    <t>Changes in Payables</t>
  </si>
  <si>
    <t>Changes in Inventory</t>
  </si>
  <si>
    <t>Changes in Working Capital</t>
  </si>
  <si>
    <t>Tax Paid</t>
  </si>
  <si>
    <t>Cash From Operating Activities</t>
  </si>
  <si>
    <t>Investing Activities</t>
  </si>
  <si>
    <t>Acquisition/Disposal of Assets</t>
  </si>
  <si>
    <t>Cash From Investing Activities</t>
  </si>
  <si>
    <t>Financing Activities</t>
  </si>
  <si>
    <t>Drawdown From Loan</t>
  </si>
  <si>
    <t xml:space="preserve">Repayment of Borrowings </t>
  </si>
  <si>
    <t>Equity Injection</t>
  </si>
  <si>
    <t>Dividend Payment</t>
  </si>
  <si>
    <t>-</t>
  </si>
  <si>
    <t>Cash From Financing Activities</t>
  </si>
  <si>
    <t>Net Cash Generated/Spent During The Period</t>
  </si>
  <si>
    <t>STATEMENT OF FINANCIAL POSITION</t>
  </si>
  <si>
    <t>Non-Current Asset</t>
  </si>
  <si>
    <t>Total Non-Current Assets</t>
  </si>
  <si>
    <t>Current Assets</t>
  </si>
  <si>
    <t>Cash AT The Beginning Of The Period</t>
  </si>
  <si>
    <t>Cash</t>
  </si>
  <si>
    <t>Inventories</t>
  </si>
  <si>
    <t>Total Current Assets</t>
  </si>
  <si>
    <t>TOTAL ASSETS</t>
  </si>
  <si>
    <t>Non-Current Liabilities</t>
  </si>
  <si>
    <t>Borrowings</t>
  </si>
  <si>
    <t>Current Liabilties</t>
  </si>
  <si>
    <t>Tax Payable</t>
  </si>
  <si>
    <t>Total Current Liabilties</t>
  </si>
  <si>
    <t>Share Capital</t>
  </si>
  <si>
    <t>Share Premium</t>
  </si>
  <si>
    <t>Retained Earnings</t>
  </si>
  <si>
    <t>Total Equity</t>
  </si>
  <si>
    <t>TOTAL EQUITY AND LIABILITIES</t>
  </si>
  <si>
    <t>Total 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</si>
</sst>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₦-46A]* #,##0.00_-;\-[$₦-46A]* #,##0.00_-;_-[$₦-46A]* &quot;-&quot;??_-;_-@_-"/>
    <numFmt numFmtId="165" formatCode="_-[$₦-46A]* #,##0_-;\-[$₦-46A]* #,##0_-;_-[$₦-46A]* &quot;-&quot;??_-;_-@_-"/>
    <numFmt numFmtId="166" formatCode="_-[$₦-46A]* #,##0_-;\-[$₦-46A]* #,##0_-;_-[$₦-46A]* &quot;-&quot;_-;_-@_-"/>
  </numFmts>
  <fonts count="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u/>
      <sz val="12"/>
      <color theme="1"/>
      <name val="Times New Roman"/>
      <family val="2"/>
    </font>
    <font>
      <i/>
      <sz val="12"/>
      <color theme="2"/>
      <name val="Times New Roman"/>
      <family val="1"/>
    </font>
    <font>
      <sz val="12"/>
      <color theme="2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14" fontId="0" fillId="2" borderId="0" xfId="0" applyNumberFormat="1" applyFill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1" xfId="0" applyFont="1" applyBorder="1"/>
    <xf numFmtId="165" fontId="5" fillId="0" borderId="1" xfId="0" applyNumberFormat="1" applyFont="1" applyBorder="1"/>
    <xf numFmtId="166" fontId="0" fillId="0" borderId="0" xfId="0" applyNumberFormat="1"/>
    <xf numFmtId="166" fontId="5" fillId="0" borderId="1" xfId="0" applyNumberFormat="1" applyFont="1" applyBorder="1"/>
    <xf numFmtId="164" fontId="5" fillId="0" borderId="1" xfId="0" applyNumberFormat="1" applyFont="1" applyBorder="1"/>
    <xf numFmtId="37" fontId="0" fillId="0" borderId="0" xfId="0" applyNumberFormat="1"/>
    <xf numFmtId="2" fontId="0" fillId="0" borderId="0" xfId="0" applyNumberFormat="1"/>
    <xf numFmtId="39" fontId="0" fillId="0" borderId="0" xfId="0" applyNumberFormat="1"/>
    <xf numFmtId="0" fontId="6" fillId="0" borderId="0" xfId="0" applyFont="1"/>
    <xf numFmtId="0" fontId="5" fillId="0" borderId="0" xfId="0" applyFont="1"/>
    <xf numFmtId="164" fontId="5" fillId="0" borderId="0" xfId="0" applyNumberFormat="1" applyFont="1"/>
    <xf numFmtId="9" fontId="5" fillId="0" borderId="1" xfId="1" applyFont="1" applyBorder="1"/>
    <xf numFmtId="0" fontId="8" fillId="0" borderId="1" xfId="0" applyFont="1" applyBorder="1"/>
    <xf numFmtId="165" fontId="5" fillId="0" borderId="0" xfId="0" applyNumberFormat="1" applyFont="1"/>
    <xf numFmtId="9" fontId="0" fillId="0" borderId="0" xfId="1" applyFont="1" applyBorder="1"/>
    <xf numFmtId="0" fontId="7" fillId="0" borderId="0" xfId="0" applyFont="1"/>
    <xf numFmtId="0" fontId="8" fillId="0" borderId="0" xfId="0" applyFont="1"/>
    <xf numFmtId="0" fontId="0" fillId="0" borderId="2" xfId="0" applyBorder="1"/>
    <xf numFmtId="0" fontId="5" fillId="2" borderId="0" xfId="0" applyFont="1" applyFill="1"/>
    <xf numFmtId="0" fontId="0" fillId="0" borderId="1" xfId="0" applyBorder="1"/>
    <xf numFmtId="37" fontId="0" fillId="0" borderId="2" xfId="0" applyNumberFormat="1" applyBorder="1"/>
    <xf numFmtId="37" fontId="5" fillId="0" borderId="0" xfId="0" applyNumberFormat="1" applyFont="1"/>
    <xf numFmtId="37" fontId="5" fillId="0" borderId="1" xfId="0" applyNumberFormat="1" applyFont="1" applyBorder="1"/>
    <xf numFmtId="0" fontId="0" fillId="3" borderId="0" xfId="0" applyFill="1"/>
    <xf numFmtId="37" fontId="0" fillId="3" borderId="0" xfId="0" applyNumberFormat="1" applyFill="1"/>
    <xf numFmtId="0" fontId="6" fillId="2" borderId="0" xfId="0" applyFont="1" applyFill="1"/>
    <xf numFmtId="165" fontId="0" fillId="0" borderId="2" xfId="0" applyNumberFormat="1" applyBorder="1"/>
    <xf numFmtId="37" fontId="0" fillId="2" borderId="0" xfId="0" applyNumberFormat="1" applyFill="1"/>
    <xf numFmtId="3" fontId="0" fillId="0" borderId="0" xfId="0" applyNumberFormat="1"/>
    <xf numFmtId="3" fontId="0" fillId="2" borderId="0" xfId="0" applyNumberFormat="1" applyFill="1"/>
    <xf numFmtId="3" fontId="5" fillId="0" borderId="1" xfId="0" applyNumberFormat="1" applyFont="1" applyBorder="1"/>
    <xf numFmtId="166" fontId="0" fillId="0" borderId="2" xfId="0" applyNumberFormat="1" applyBorder="1"/>
    <xf numFmtId="166" fontId="5" fillId="0" borderId="0" xfId="0" applyNumberFormat="1" applyFont="1"/>
    <xf numFmtId="166" fontId="7" fillId="0" borderId="0" xfId="0" applyNumberFormat="1" applyFont="1"/>
    <xf numFmtId="166" fontId="0" fillId="2" borderId="0" xfId="0" applyNumberFormat="1" applyFill="1"/>
    <xf numFmtId="166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08A3-ED18-4570-9CC0-9F1325665DA4}">
  <dimension ref="A1:N124"/>
  <sheetViews>
    <sheetView showGridLines="0" topLeftCell="A103" zoomScale="66" workbookViewId="0">
      <selection activeCell="M137" sqref="M137"/>
    </sheetView>
  </sheetViews>
  <sheetFormatPr defaultRowHeight="15.6" x14ac:dyDescent="0.3"/>
  <cols>
    <col min="2" max="2" width="24.296875" bestFit="1" customWidth="1"/>
    <col min="4" max="4" width="14.296875" bestFit="1" customWidth="1"/>
    <col min="9" max="14" width="14.296875" bestFit="1" customWidth="1"/>
  </cols>
  <sheetData>
    <row r="1" spans="1:14" s="1" customFormat="1" x14ac:dyDescent="0.3">
      <c r="A1" s="37" t="s">
        <v>0</v>
      </c>
    </row>
    <row r="2" spans="1:14" s="1" customFormat="1" x14ac:dyDescent="0.3">
      <c r="A2" s="1" t="s">
        <v>1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4" s="1" customFormat="1" x14ac:dyDescent="0.3">
      <c r="A3" s="1" t="s">
        <v>2</v>
      </c>
      <c r="I3" s="4">
        <f>IF(I2=1,$D$8,H4+1)</f>
        <v>46753</v>
      </c>
      <c r="J3" s="4">
        <f t="shared" ref="J3:K3" si="0">IF(J2=1,$D$8,I4+1)</f>
        <v>47119</v>
      </c>
      <c r="K3" s="4">
        <f t="shared" si="0"/>
        <v>47484</v>
      </c>
      <c r="L3" s="4">
        <f t="shared" ref="L3:M3" si="1">IF(L2=1,$D$8,K4+1)</f>
        <v>47849</v>
      </c>
      <c r="M3" s="4">
        <f t="shared" si="1"/>
        <v>48214</v>
      </c>
      <c r="N3" s="4">
        <f t="shared" ref="N3" si="2">IF(N2=1,$D$8,M4+1)</f>
        <v>48580</v>
      </c>
    </row>
    <row r="4" spans="1:14" s="1" customFormat="1" x14ac:dyDescent="0.3">
      <c r="A4" s="1" t="s">
        <v>3</v>
      </c>
      <c r="I4" s="4">
        <f>EDATE(I3,$D$11)-1</f>
        <v>47118</v>
      </c>
      <c r="J4" s="4">
        <f t="shared" ref="J4:N4" si="3">EDATE(J3,$D$11)-1</f>
        <v>47483</v>
      </c>
      <c r="K4" s="4">
        <f t="shared" si="3"/>
        <v>47848</v>
      </c>
      <c r="L4" s="4">
        <f t="shared" si="3"/>
        <v>48213</v>
      </c>
      <c r="M4" s="4">
        <f t="shared" si="3"/>
        <v>48579</v>
      </c>
      <c r="N4" s="4">
        <f t="shared" si="3"/>
        <v>48944</v>
      </c>
    </row>
    <row r="5" spans="1:14" s="1" customFormat="1" x14ac:dyDescent="0.3">
      <c r="A5" s="1" t="s">
        <v>4</v>
      </c>
      <c r="I5" s="1">
        <f>I4-I3</f>
        <v>365</v>
      </c>
      <c r="J5" s="1">
        <f t="shared" ref="J5:N5" si="4">J4-J3</f>
        <v>364</v>
      </c>
      <c r="K5" s="1">
        <f t="shared" si="4"/>
        <v>364</v>
      </c>
      <c r="L5" s="1">
        <f t="shared" si="4"/>
        <v>364</v>
      </c>
      <c r="M5" s="1">
        <f t="shared" si="4"/>
        <v>365</v>
      </c>
      <c r="N5" s="1">
        <f t="shared" si="4"/>
        <v>364</v>
      </c>
    </row>
    <row r="7" spans="1:14" s="1" customFormat="1" x14ac:dyDescent="0.3">
      <c r="A7" s="1" t="s">
        <v>5</v>
      </c>
    </row>
    <row r="8" spans="1:14" x14ac:dyDescent="0.3">
      <c r="B8" t="s">
        <v>6</v>
      </c>
      <c r="D8" s="2">
        <v>46753</v>
      </c>
    </row>
    <row r="9" spans="1:14" x14ac:dyDescent="0.3">
      <c r="B9" t="s">
        <v>7</v>
      </c>
      <c r="D9">
        <v>6</v>
      </c>
    </row>
    <row r="10" spans="1:14" x14ac:dyDescent="0.3">
      <c r="B10" t="s">
        <v>8</v>
      </c>
      <c r="D10" s="2">
        <f>EDATE(D8,D9*D11)-1</f>
        <v>48944</v>
      </c>
    </row>
    <row r="11" spans="1:14" x14ac:dyDescent="0.3">
      <c r="B11" t="s">
        <v>9</v>
      </c>
      <c r="D11">
        <v>12</v>
      </c>
    </row>
    <row r="12" spans="1:14" x14ac:dyDescent="0.3">
      <c r="B12" t="s">
        <v>10</v>
      </c>
      <c r="D12" s="3">
        <v>0.3</v>
      </c>
    </row>
    <row r="14" spans="1:14" s="1" customFormat="1" x14ac:dyDescent="0.3">
      <c r="A14" s="1" t="s">
        <v>11</v>
      </c>
    </row>
    <row r="15" spans="1:14" x14ac:dyDescent="0.3">
      <c r="B15" s="5" t="s">
        <v>12</v>
      </c>
    </row>
    <row r="16" spans="1:14" x14ac:dyDescent="0.3">
      <c r="B16" t="s">
        <v>13</v>
      </c>
      <c r="D16" s="7">
        <v>40000</v>
      </c>
      <c r="H16" s="18"/>
      <c r="I16" s="40">
        <f>IF(I$2=1,$D16,H16*(1+$D24))</f>
        <v>40000</v>
      </c>
      <c r="J16" s="40">
        <f t="shared" ref="J16:N16" si="5">IF(J$2=1,$D16,I16*(1+$D24))</f>
        <v>42400</v>
      </c>
      <c r="K16" s="40">
        <f t="shared" si="5"/>
        <v>44944</v>
      </c>
      <c r="L16" s="40">
        <f t="shared" si="5"/>
        <v>47640.639999999999</v>
      </c>
      <c r="M16" s="40">
        <f t="shared" si="5"/>
        <v>50499.078399999999</v>
      </c>
      <c r="N16" s="40">
        <f t="shared" si="5"/>
        <v>53529.023104</v>
      </c>
    </row>
    <row r="17" spans="2:14" x14ac:dyDescent="0.3">
      <c r="B17" t="s">
        <v>14</v>
      </c>
      <c r="D17" s="7">
        <v>22000</v>
      </c>
      <c r="H17" s="18"/>
      <c r="I17" s="40">
        <f t="shared" ref="I17:N17" si="6">IF(I$2=1,$D17,H17*(1+$D25))</f>
        <v>22000</v>
      </c>
      <c r="J17" s="40">
        <f t="shared" si="6"/>
        <v>23540</v>
      </c>
      <c r="K17" s="40">
        <f t="shared" si="6"/>
        <v>25187.800000000003</v>
      </c>
      <c r="L17" s="40">
        <f t="shared" si="6"/>
        <v>26950.946000000004</v>
      </c>
      <c r="M17" s="40">
        <f t="shared" si="6"/>
        <v>28837.512220000004</v>
      </c>
      <c r="N17" s="40">
        <f t="shared" si="6"/>
        <v>30856.138075400006</v>
      </c>
    </row>
    <row r="18" spans="2:14" x14ac:dyDescent="0.3">
      <c r="B18" t="s">
        <v>15</v>
      </c>
      <c r="D18" s="7">
        <v>4000</v>
      </c>
      <c r="H18" s="18"/>
      <c r="I18" s="40">
        <f t="shared" ref="I18:N18" si="7">IF(I$2=1,$D18,H18*(1+$D26))</f>
        <v>4000</v>
      </c>
      <c r="J18" s="40">
        <f t="shared" si="7"/>
        <v>4200</v>
      </c>
      <c r="K18" s="40">
        <f t="shared" si="7"/>
        <v>4410</v>
      </c>
      <c r="L18" s="40">
        <f t="shared" si="7"/>
        <v>4630.5</v>
      </c>
      <c r="M18" s="40">
        <f t="shared" si="7"/>
        <v>4862.0250000000005</v>
      </c>
      <c r="N18" s="40">
        <f t="shared" si="7"/>
        <v>5105.1262500000012</v>
      </c>
    </row>
    <row r="19" spans="2:14" x14ac:dyDescent="0.3">
      <c r="B19" t="s">
        <v>16</v>
      </c>
      <c r="D19" s="7">
        <v>30000</v>
      </c>
      <c r="H19" s="18"/>
      <c r="I19" s="40">
        <f t="shared" ref="I19:N19" si="8">IF(I$2=1,$D19,H19*(1+$D27))</f>
        <v>30000</v>
      </c>
      <c r="J19" s="40">
        <f t="shared" si="8"/>
        <v>32400.000000000004</v>
      </c>
      <c r="K19" s="40">
        <f t="shared" si="8"/>
        <v>34992.000000000007</v>
      </c>
      <c r="L19" s="40">
        <f t="shared" si="8"/>
        <v>37791.360000000008</v>
      </c>
      <c r="M19" s="40">
        <f t="shared" si="8"/>
        <v>40814.668800000014</v>
      </c>
      <c r="N19" s="40">
        <f t="shared" si="8"/>
        <v>44079.84230400002</v>
      </c>
    </row>
    <row r="20" spans="2:14" x14ac:dyDescent="0.3">
      <c r="B20" t="s">
        <v>17</v>
      </c>
      <c r="D20" s="7">
        <v>7000</v>
      </c>
      <c r="H20" s="18"/>
      <c r="I20" s="40">
        <f t="shared" ref="I20:N20" si="9">IF(I$2=1,$D20,H20*(1+$D28))</f>
        <v>7000</v>
      </c>
      <c r="J20" s="40">
        <f t="shared" si="9"/>
        <v>7770.0000000000009</v>
      </c>
      <c r="K20" s="40">
        <f t="shared" si="9"/>
        <v>8624.7000000000025</v>
      </c>
      <c r="L20" s="40">
        <f t="shared" si="9"/>
        <v>9573.4170000000031</v>
      </c>
      <c r="M20" s="40">
        <f t="shared" si="9"/>
        <v>10626.492870000004</v>
      </c>
      <c r="N20" s="40">
        <f t="shared" si="9"/>
        <v>11795.407085700004</v>
      </c>
    </row>
    <row r="21" spans="2:14" x14ac:dyDescent="0.3">
      <c r="B21" t="s">
        <v>18</v>
      </c>
      <c r="D21" s="7">
        <v>9000</v>
      </c>
      <c r="H21" s="18"/>
      <c r="I21" s="40">
        <f t="shared" ref="I21:N21" si="10">IF(I$2=1,$D21,H21*(1+$D29))</f>
        <v>9000</v>
      </c>
      <c r="J21" s="40">
        <f t="shared" si="10"/>
        <v>9270</v>
      </c>
      <c r="K21" s="40">
        <f t="shared" si="10"/>
        <v>9548.1</v>
      </c>
      <c r="L21" s="40">
        <f t="shared" si="10"/>
        <v>9834.5430000000015</v>
      </c>
      <c r="M21" s="40">
        <f t="shared" si="10"/>
        <v>10129.579290000001</v>
      </c>
      <c r="N21" s="40">
        <f t="shared" si="10"/>
        <v>10433.466668700003</v>
      </c>
    </row>
    <row r="22" spans="2:14" x14ac:dyDescent="0.3">
      <c r="I22" s="40"/>
      <c r="J22" s="40"/>
      <c r="K22" s="40"/>
      <c r="L22" s="40"/>
      <c r="M22" s="40"/>
      <c r="N22" s="40"/>
    </row>
    <row r="23" spans="2:14" x14ac:dyDescent="0.3">
      <c r="B23" s="5" t="s">
        <v>19</v>
      </c>
      <c r="I23" s="40"/>
      <c r="J23" s="40"/>
      <c r="K23" s="40"/>
      <c r="L23" s="40"/>
      <c r="M23" s="40"/>
      <c r="N23" s="40"/>
    </row>
    <row r="24" spans="2:14" x14ac:dyDescent="0.3">
      <c r="B24" t="s">
        <v>13</v>
      </c>
      <c r="D24" s="3">
        <v>0.06</v>
      </c>
      <c r="I24" s="40"/>
      <c r="J24" s="40"/>
      <c r="K24" s="40"/>
      <c r="L24" s="40"/>
      <c r="M24" s="40"/>
      <c r="N24" s="40"/>
    </row>
    <row r="25" spans="2:14" x14ac:dyDescent="0.3">
      <c r="B25" t="s">
        <v>14</v>
      </c>
      <c r="D25" s="3">
        <v>7.0000000000000007E-2</v>
      </c>
      <c r="I25" s="40"/>
      <c r="J25" s="40"/>
      <c r="K25" s="40"/>
      <c r="L25" s="40"/>
      <c r="M25" s="40"/>
      <c r="N25" s="40"/>
    </row>
    <row r="26" spans="2:14" x14ac:dyDescent="0.3">
      <c r="B26" t="s">
        <v>15</v>
      </c>
      <c r="D26" s="3">
        <v>0.05</v>
      </c>
      <c r="I26" s="40"/>
      <c r="J26" s="40"/>
      <c r="K26" s="40"/>
      <c r="L26" s="40"/>
      <c r="M26" s="40"/>
      <c r="N26" s="40"/>
    </row>
    <row r="27" spans="2:14" x14ac:dyDescent="0.3">
      <c r="B27" t="s">
        <v>16</v>
      </c>
      <c r="D27" s="3">
        <v>0.08</v>
      </c>
      <c r="I27" s="40"/>
      <c r="J27" s="40"/>
      <c r="K27" s="40"/>
      <c r="L27" s="40"/>
      <c r="M27" s="40"/>
      <c r="N27" s="40"/>
    </row>
    <row r="28" spans="2:14" x14ac:dyDescent="0.3">
      <c r="B28" t="s">
        <v>17</v>
      </c>
      <c r="D28" s="3">
        <v>0.11</v>
      </c>
      <c r="I28" s="40"/>
      <c r="J28" s="40"/>
      <c r="K28" s="40"/>
      <c r="L28" s="40"/>
      <c r="M28" s="40"/>
      <c r="N28" s="40"/>
    </row>
    <row r="29" spans="2:14" x14ac:dyDescent="0.3">
      <c r="B29" t="s">
        <v>18</v>
      </c>
      <c r="D29" s="3">
        <v>0.03</v>
      </c>
      <c r="I29" s="40"/>
      <c r="J29" s="40"/>
      <c r="K29" s="40"/>
      <c r="L29" s="40"/>
      <c r="M29" s="40"/>
      <c r="N29" s="40"/>
    </row>
    <row r="30" spans="2:14" x14ac:dyDescent="0.3">
      <c r="I30" s="40"/>
      <c r="J30" s="40"/>
      <c r="K30" s="40"/>
      <c r="L30" s="40"/>
      <c r="M30" s="40"/>
      <c r="N30" s="40"/>
    </row>
    <row r="31" spans="2:14" x14ac:dyDescent="0.3">
      <c r="B31" s="5" t="s">
        <v>20</v>
      </c>
      <c r="I31" s="40"/>
      <c r="J31" s="40"/>
      <c r="K31" s="40"/>
      <c r="L31" s="40"/>
      <c r="M31" s="40"/>
      <c r="N31" s="40"/>
    </row>
    <row r="32" spans="2:14" x14ac:dyDescent="0.3">
      <c r="B32" t="s">
        <v>13</v>
      </c>
      <c r="D32">
        <v>99</v>
      </c>
      <c r="I32" s="40">
        <f>IF(I$2=1,$D32,H32*(1+$D40))</f>
        <v>99</v>
      </c>
      <c r="J32" s="40">
        <f t="shared" ref="J32:N32" si="11">IF(J$2=1,$D32,I32*(1+$D40))</f>
        <v>108.9</v>
      </c>
      <c r="K32" s="40">
        <f t="shared" si="11"/>
        <v>119.79000000000002</v>
      </c>
      <c r="L32" s="40">
        <f t="shared" si="11"/>
        <v>131.76900000000003</v>
      </c>
      <c r="M32" s="40">
        <f t="shared" si="11"/>
        <v>144.94590000000005</v>
      </c>
      <c r="N32" s="40">
        <f t="shared" si="11"/>
        <v>159.44049000000007</v>
      </c>
    </row>
    <row r="33" spans="1:14" x14ac:dyDescent="0.3">
      <c r="B33" t="s">
        <v>14</v>
      </c>
      <c r="D33">
        <v>34</v>
      </c>
      <c r="I33" s="40">
        <f t="shared" ref="I33:N33" si="12">IF(I$2=1,$D33,H33*(1+$D41))</f>
        <v>34</v>
      </c>
      <c r="J33" s="40">
        <f t="shared" si="12"/>
        <v>37.06</v>
      </c>
      <c r="K33" s="40">
        <f t="shared" si="12"/>
        <v>40.395400000000002</v>
      </c>
      <c r="L33" s="40">
        <f t="shared" si="12"/>
        <v>44.030986000000006</v>
      </c>
      <c r="M33" s="40">
        <f t="shared" si="12"/>
        <v>47.993774740000006</v>
      </c>
      <c r="N33" s="40">
        <f t="shared" si="12"/>
        <v>52.313214466600009</v>
      </c>
    </row>
    <row r="34" spans="1:14" x14ac:dyDescent="0.3">
      <c r="B34" t="s">
        <v>15</v>
      </c>
      <c r="D34">
        <v>92</v>
      </c>
      <c r="I34" s="40">
        <f t="shared" ref="I34:N34" si="13">IF(I$2=1,$D34,H34*(1+$D42))</f>
        <v>92</v>
      </c>
      <c r="J34" s="40">
        <f t="shared" si="13"/>
        <v>103.96</v>
      </c>
      <c r="K34" s="40">
        <f t="shared" si="13"/>
        <v>117.47479999999999</v>
      </c>
      <c r="L34" s="40">
        <f t="shared" si="13"/>
        <v>132.74652399999997</v>
      </c>
      <c r="M34" s="40">
        <f t="shared" si="13"/>
        <v>150.00357211999994</v>
      </c>
      <c r="N34" s="40">
        <f t="shared" si="13"/>
        <v>169.50403649559993</v>
      </c>
    </row>
    <row r="35" spans="1:14" x14ac:dyDescent="0.3">
      <c r="B35" t="s">
        <v>16</v>
      </c>
      <c r="D35">
        <v>43</v>
      </c>
      <c r="I35" s="40">
        <f t="shared" ref="I35:N35" si="14">IF(I$2=1,$D35,H35*(1+$D43))</f>
        <v>43</v>
      </c>
      <c r="J35" s="40">
        <f t="shared" si="14"/>
        <v>46.010000000000005</v>
      </c>
      <c r="K35" s="40">
        <f t="shared" si="14"/>
        <v>49.230700000000006</v>
      </c>
      <c r="L35" s="40">
        <f t="shared" si="14"/>
        <v>52.676849000000011</v>
      </c>
      <c r="M35" s="40">
        <f t="shared" si="14"/>
        <v>56.364228430000018</v>
      </c>
      <c r="N35" s="40">
        <f t="shared" si="14"/>
        <v>60.309724420100025</v>
      </c>
    </row>
    <row r="36" spans="1:14" x14ac:dyDescent="0.3">
      <c r="B36" t="s">
        <v>17</v>
      </c>
      <c r="D36">
        <v>90</v>
      </c>
      <c r="I36" s="40">
        <f t="shared" ref="I36:N36" si="15">IF(I$2=1,$D36,H36*(1+$D44))</f>
        <v>90</v>
      </c>
      <c r="J36" s="40">
        <f t="shared" si="15"/>
        <v>99.000000000000014</v>
      </c>
      <c r="K36" s="40">
        <f t="shared" si="15"/>
        <v>108.90000000000002</v>
      </c>
      <c r="L36" s="40">
        <f t="shared" si="15"/>
        <v>119.79000000000003</v>
      </c>
      <c r="M36" s="40">
        <f t="shared" si="15"/>
        <v>131.76900000000006</v>
      </c>
      <c r="N36" s="40">
        <f t="shared" si="15"/>
        <v>144.94590000000008</v>
      </c>
    </row>
    <row r="37" spans="1:14" x14ac:dyDescent="0.3">
      <c r="B37" t="s">
        <v>18</v>
      </c>
      <c r="D37">
        <v>88</v>
      </c>
      <c r="I37" s="40">
        <f t="shared" ref="I37:N37" si="16">IF(I$2=1,$D37,H37*(1+$D45))</f>
        <v>88</v>
      </c>
      <c r="J37" s="40">
        <f t="shared" si="16"/>
        <v>95.04</v>
      </c>
      <c r="K37" s="40">
        <f t="shared" si="16"/>
        <v>102.64320000000001</v>
      </c>
      <c r="L37" s="40">
        <f t="shared" si="16"/>
        <v>110.85465600000002</v>
      </c>
      <c r="M37" s="40">
        <f t="shared" si="16"/>
        <v>119.72302848000002</v>
      </c>
      <c r="N37" s="40">
        <f t="shared" si="16"/>
        <v>129.30087075840004</v>
      </c>
    </row>
    <row r="38" spans="1:14" x14ac:dyDescent="0.3">
      <c r="I38" s="40"/>
      <c r="J38" s="40"/>
      <c r="K38" s="40"/>
      <c r="L38" s="40"/>
      <c r="M38" s="40"/>
      <c r="N38" s="40"/>
    </row>
    <row r="39" spans="1:14" x14ac:dyDescent="0.3">
      <c r="B39" t="s">
        <v>21</v>
      </c>
      <c r="I39" s="40"/>
      <c r="J39" s="40"/>
      <c r="K39" s="40"/>
      <c r="L39" s="40"/>
      <c r="M39" s="40"/>
      <c r="N39" s="40"/>
    </row>
    <row r="40" spans="1:14" x14ac:dyDescent="0.3">
      <c r="B40" t="s">
        <v>13</v>
      </c>
      <c r="D40" s="3">
        <v>0.1</v>
      </c>
      <c r="I40" s="40"/>
      <c r="J40" s="40"/>
      <c r="K40" s="40"/>
      <c r="L40" s="40"/>
      <c r="M40" s="40"/>
      <c r="N40" s="40"/>
    </row>
    <row r="41" spans="1:14" x14ac:dyDescent="0.3">
      <c r="B41" t="s">
        <v>14</v>
      </c>
      <c r="D41" s="3">
        <v>0.09</v>
      </c>
      <c r="I41" s="40"/>
      <c r="J41" s="40"/>
      <c r="K41" s="40"/>
      <c r="L41" s="40"/>
      <c r="M41" s="40"/>
      <c r="N41" s="40"/>
    </row>
    <row r="42" spans="1:14" x14ac:dyDescent="0.3">
      <c r="B42" t="s">
        <v>15</v>
      </c>
      <c r="D42" s="3">
        <v>0.13</v>
      </c>
      <c r="I42" s="40"/>
      <c r="J42" s="40"/>
      <c r="K42" s="40"/>
      <c r="L42" s="40"/>
      <c r="M42" s="40"/>
      <c r="N42" s="40"/>
    </row>
    <row r="43" spans="1:14" x14ac:dyDescent="0.3">
      <c r="B43" t="s">
        <v>16</v>
      </c>
      <c r="D43" s="3">
        <v>7.0000000000000007E-2</v>
      </c>
      <c r="I43" s="40"/>
      <c r="J43" s="40"/>
      <c r="K43" s="40"/>
      <c r="L43" s="40"/>
      <c r="M43" s="40"/>
      <c r="N43" s="40"/>
    </row>
    <row r="44" spans="1:14" x14ac:dyDescent="0.3">
      <c r="B44" t="s">
        <v>17</v>
      </c>
      <c r="D44" s="3">
        <v>0.1</v>
      </c>
      <c r="I44" s="40"/>
      <c r="J44" s="40"/>
      <c r="K44" s="40"/>
      <c r="L44" s="40"/>
      <c r="M44" s="40"/>
      <c r="N44" s="40"/>
    </row>
    <row r="45" spans="1:14" x14ac:dyDescent="0.3">
      <c r="B45" t="s">
        <v>18</v>
      </c>
      <c r="D45" s="3">
        <v>0.08</v>
      </c>
      <c r="I45" s="40"/>
      <c r="J45" s="40"/>
      <c r="K45" s="40"/>
      <c r="L45" s="40"/>
      <c r="M45" s="40"/>
      <c r="N45" s="40"/>
    </row>
    <row r="46" spans="1:14" x14ac:dyDescent="0.3">
      <c r="I46" s="40"/>
      <c r="J46" s="40"/>
      <c r="K46" s="40"/>
      <c r="L46" s="40"/>
      <c r="M46" s="40"/>
      <c r="N46" s="40"/>
    </row>
    <row r="47" spans="1:14" s="1" customFormat="1" x14ac:dyDescent="0.3">
      <c r="A47" s="1" t="s">
        <v>22</v>
      </c>
      <c r="I47" s="41"/>
      <c r="J47" s="41"/>
      <c r="K47" s="41"/>
      <c r="L47" s="41"/>
      <c r="M47" s="41"/>
      <c r="N47" s="41"/>
    </row>
    <row r="48" spans="1:14" x14ac:dyDescent="0.3">
      <c r="I48" s="40"/>
      <c r="J48" s="40"/>
      <c r="K48" s="40"/>
      <c r="L48" s="40"/>
      <c r="M48" s="40"/>
      <c r="N48" s="40"/>
    </row>
    <row r="49" spans="2:14" x14ac:dyDescent="0.3">
      <c r="B49" s="5" t="s">
        <v>23</v>
      </c>
      <c r="I49" s="40"/>
      <c r="J49" s="40"/>
      <c r="K49" s="40"/>
      <c r="L49" s="40"/>
      <c r="M49" s="40"/>
      <c r="N49" s="40"/>
    </row>
    <row r="50" spans="2:14" x14ac:dyDescent="0.3">
      <c r="B50" t="s">
        <v>13</v>
      </c>
      <c r="D50" s="7">
        <v>30000</v>
      </c>
      <c r="I50" s="40">
        <f>IF(I$2=1,$D50,H50*(1+$D58))</f>
        <v>30000</v>
      </c>
      <c r="J50" s="40">
        <f t="shared" ref="J50:N50" si="17">IF(J$2=1,$D50,I50*(1+$D58))</f>
        <v>30900</v>
      </c>
      <c r="K50" s="40">
        <f t="shared" si="17"/>
        <v>31827</v>
      </c>
      <c r="L50" s="40">
        <f t="shared" si="17"/>
        <v>32781.81</v>
      </c>
      <c r="M50" s="40">
        <f t="shared" si="17"/>
        <v>33765.264299999995</v>
      </c>
      <c r="N50" s="40">
        <f t="shared" si="17"/>
        <v>34778.222228999999</v>
      </c>
    </row>
    <row r="51" spans="2:14" x14ac:dyDescent="0.3">
      <c r="B51" t="s">
        <v>14</v>
      </c>
      <c r="D51" s="7">
        <v>19000</v>
      </c>
      <c r="I51" s="40">
        <f t="shared" ref="I51:N51" si="18">IF(I$2=1,$D51,H51*(1+$D59))</f>
        <v>19000</v>
      </c>
      <c r="J51" s="40">
        <f t="shared" si="18"/>
        <v>19950</v>
      </c>
      <c r="K51" s="40">
        <f t="shared" si="18"/>
        <v>20947.5</v>
      </c>
      <c r="L51" s="40">
        <f t="shared" si="18"/>
        <v>21994.875</v>
      </c>
      <c r="M51" s="40">
        <f t="shared" si="18"/>
        <v>23094.618750000001</v>
      </c>
      <c r="N51" s="40">
        <f t="shared" si="18"/>
        <v>24249.349687500002</v>
      </c>
    </row>
    <row r="52" spans="2:14" x14ac:dyDescent="0.3">
      <c r="B52" t="s">
        <v>15</v>
      </c>
      <c r="D52" s="7">
        <v>3000</v>
      </c>
      <c r="I52" s="40">
        <f t="shared" ref="I52:N52" si="19">IF(I$2=1,$D52,H52*(1+$D60))</f>
        <v>3000</v>
      </c>
      <c r="J52" s="40">
        <f t="shared" si="19"/>
        <v>3120</v>
      </c>
      <c r="K52" s="40">
        <f t="shared" si="19"/>
        <v>3244.8</v>
      </c>
      <c r="L52" s="40">
        <f t="shared" si="19"/>
        <v>3374.5920000000001</v>
      </c>
      <c r="M52" s="40">
        <f t="shared" si="19"/>
        <v>3509.5756800000004</v>
      </c>
      <c r="N52" s="40">
        <f t="shared" si="19"/>
        <v>3649.9587072000004</v>
      </c>
    </row>
    <row r="53" spans="2:14" x14ac:dyDescent="0.3">
      <c r="B53" t="s">
        <v>16</v>
      </c>
      <c r="D53" s="7">
        <v>21000</v>
      </c>
      <c r="I53" s="40">
        <f t="shared" ref="I53:N53" si="20">IF(I$2=1,$D53,H53*(1+$D61))</f>
        <v>21000</v>
      </c>
      <c r="J53" s="40">
        <f t="shared" si="20"/>
        <v>21840</v>
      </c>
      <c r="K53" s="40">
        <f t="shared" si="20"/>
        <v>22713.600000000002</v>
      </c>
      <c r="L53" s="40">
        <f t="shared" si="20"/>
        <v>23622.144000000004</v>
      </c>
      <c r="M53" s="40">
        <f t="shared" si="20"/>
        <v>24567.029760000005</v>
      </c>
      <c r="N53" s="40">
        <f t="shared" si="20"/>
        <v>25549.710950400007</v>
      </c>
    </row>
    <row r="54" spans="2:14" x14ac:dyDescent="0.3">
      <c r="B54" t="s">
        <v>17</v>
      </c>
      <c r="D54" s="7">
        <v>4000</v>
      </c>
      <c r="I54" s="40">
        <f t="shared" ref="I54:N54" si="21">IF(I$2=1,$D54,H54*(1+$D62))</f>
        <v>4000</v>
      </c>
      <c r="J54" s="40">
        <f t="shared" si="21"/>
        <v>4320</v>
      </c>
      <c r="K54" s="40">
        <f t="shared" si="21"/>
        <v>4665.6000000000004</v>
      </c>
      <c r="L54" s="40">
        <f t="shared" si="21"/>
        <v>5038.8480000000009</v>
      </c>
      <c r="M54" s="40">
        <f t="shared" si="21"/>
        <v>5441.9558400000014</v>
      </c>
      <c r="N54" s="40">
        <f t="shared" si="21"/>
        <v>5877.3123072000017</v>
      </c>
    </row>
    <row r="55" spans="2:14" x14ac:dyDescent="0.3">
      <c r="B55" t="s">
        <v>18</v>
      </c>
      <c r="D55" s="7">
        <v>5000</v>
      </c>
      <c r="I55" s="40">
        <f t="shared" ref="I55:N55" si="22">IF(I$2=1,$D55,H55*(1+$D63))</f>
        <v>5000</v>
      </c>
      <c r="J55" s="40">
        <f t="shared" si="22"/>
        <v>5100</v>
      </c>
      <c r="K55" s="40">
        <f t="shared" si="22"/>
        <v>5202</v>
      </c>
      <c r="L55" s="40">
        <f t="shared" si="22"/>
        <v>5306.04</v>
      </c>
      <c r="M55" s="40">
        <f t="shared" si="22"/>
        <v>5412.1607999999997</v>
      </c>
      <c r="N55" s="40">
        <f t="shared" si="22"/>
        <v>5520.4040159999995</v>
      </c>
    </row>
    <row r="56" spans="2:14" x14ac:dyDescent="0.3">
      <c r="I56" s="40"/>
      <c r="J56" s="40"/>
      <c r="K56" s="40"/>
      <c r="L56" s="40"/>
      <c r="M56" s="40"/>
      <c r="N56" s="40"/>
    </row>
    <row r="57" spans="2:14" x14ac:dyDescent="0.3">
      <c r="B57" s="5" t="s">
        <v>24</v>
      </c>
      <c r="I57" s="40"/>
      <c r="J57" s="40"/>
      <c r="K57" s="40"/>
      <c r="L57" s="40"/>
      <c r="M57" s="40"/>
      <c r="N57" s="40"/>
    </row>
    <row r="58" spans="2:14" x14ac:dyDescent="0.3">
      <c r="B58" t="s">
        <v>13</v>
      </c>
      <c r="D58" s="8">
        <v>0.03</v>
      </c>
      <c r="I58" s="40"/>
      <c r="J58" s="40"/>
      <c r="K58" s="40"/>
      <c r="L58" s="40"/>
      <c r="M58" s="40"/>
      <c r="N58" s="40"/>
    </row>
    <row r="59" spans="2:14" x14ac:dyDescent="0.3">
      <c r="B59" t="s">
        <v>14</v>
      </c>
      <c r="D59" s="8">
        <v>0.05</v>
      </c>
      <c r="I59" s="40"/>
      <c r="J59" s="40"/>
      <c r="K59" s="40"/>
      <c r="L59" s="40"/>
      <c r="M59" s="40"/>
      <c r="N59" s="40"/>
    </row>
    <row r="60" spans="2:14" x14ac:dyDescent="0.3">
      <c r="B60" t="s">
        <v>15</v>
      </c>
      <c r="D60" s="8">
        <v>0.04</v>
      </c>
      <c r="I60" s="40"/>
      <c r="J60" s="40"/>
      <c r="K60" s="40"/>
      <c r="L60" s="40"/>
      <c r="M60" s="40"/>
      <c r="N60" s="40"/>
    </row>
    <row r="61" spans="2:14" x14ac:dyDescent="0.3">
      <c r="B61" t="s">
        <v>16</v>
      </c>
      <c r="D61" s="8">
        <v>0.04</v>
      </c>
      <c r="I61" s="40"/>
      <c r="J61" s="40"/>
      <c r="K61" s="40"/>
      <c r="L61" s="40"/>
      <c r="M61" s="40"/>
      <c r="N61" s="40"/>
    </row>
    <row r="62" spans="2:14" x14ac:dyDescent="0.3">
      <c r="B62" t="s">
        <v>17</v>
      </c>
      <c r="D62" s="8">
        <v>0.08</v>
      </c>
      <c r="I62" s="40"/>
      <c r="J62" s="40"/>
      <c r="K62" s="40"/>
      <c r="L62" s="40"/>
      <c r="M62" s="40"/>
      <c r="N62" s="40"/>
    </row>
    <row r="63" spans="2:14" x14ac:dyDescent="0.3">
      <c r="B63" t="s">
        <v>18</v>
      </c>
      <c r="D63" s="8">
        <v>0.02</v>
      </c>
      <c r="I63" s="40"/>
      <c r="J63" s="40"/>
      <c r="K63" s="40"/>
      <c r="L63" s="40"/>
      <c r="M63" s="40"/>
      <c r="N63" s="40"/>
    </row>
    <row r="64" spans="2:14" x14ac:dyDescent="0.3">
      <c r="I64" s="40"/>
      <c r="J64" s="40"/>
      <c r="K64" s="40"/>
      <c r="L64" s="40"/>
      <c r="M64" s="40"/>
      <c r="N64" s="40"/>
    </row>
    <row r="65" spans="1:14" s="1" customFormat="1" x14ac:dyDescent="0.3">
      <c r="A65" s="1" t="s">
        <v>25</v>
      </c>
      <c r="I65" s="41"/>
      <c r="J65" s="41"/>
      <c r="K65" s="41"/>
      <c r="L65" s="41"/>
      <c r="M65" s="41"/>
      <c r="N65" s="41"/>
    </row>
    <row r="66" spans="1:14" x14ac:dyDescent="0.3">
      <c r="B66" s="5" t="s">
        <v>26</v>
      </c>
      <c r="I66" s="40"/>
      <c r="J66" s="40"/>
      <c r="K66" s="40"/>
      <c r="L66" s="40"/>
      <c r="M66" s="40"/>
      <c r="N66" s="40"/>
    </row>
    <row r="67" spans="1:14" x14ac:dyDescent="0.3">
      <c r="B67" t="s">
        <v>27</v>
      </c>
      <c r="D67" s="6">
        <v>300000</v>
      </c>
      <c r="I67" s="40">
        <f>$D67</f>
        <v>300000</v>
      </c>
      <c r="J67" s="40">
        <f t="shared" ref="J67:N69" si="23">$D67</f>
        <v>300000</v>
      </c>
      <c r="K67" s="40">
        <f t="shared" si="23"/>
        <v>300000</v>
      </c>
      <c r="L67" s="40">
        <f t="shared" si="23"/>
        <v>300000</v>
      </c>
      <c r="M67" s="40">
        <f t="shared" si="23"/>
        <v>300000</v>
      </c>
      <c r="N67" s="40">
        <f t="shared" si="23"/>
        <v>300000</v>
      </c>
    </row>
    <row r="68" spans="1:14" x14ac:dyDescent="0.3">
      <c r="B68" t="s">
        <v>28</v>
      </c>
      <c r="D68" s="6">
        <v>250000</v>
      </c>
      <c r="I68" s="40">
        <f t="shared" ref="I68:I69" si="24">$D68</f>
        <v>250000</v>
      </c>
      <c r="J68" s="40">
        <f t="shared" si="23"/>
        <v>250000</v>
      </c>
      <c r="K68" s="40">
        <f t="shared" si="23"/>
        <v>250000</v>
      </c>
      <c r="L68" s="40">
        <f t="shared" si="23"/>
        <v>250000</v>
      </c>
      <c r="M68" s="40">
        <f t="shared" si="23"/>
        <v>250000</v>
      </c>
      <c r="N68" s="40">
        <f t="shared" si="23"/>
        <v>250000</v>
      </c>
    </row>
    <row r="69" spans="1:14" x14ac:dyDescent="0.3">
      <c r="B69" t="s">
        <v>29</v>
      </c>
      <c r="D69" s="6">
        <v>200000</v>
      </c>
      <c r="I69" s="40">
        <f t="shared" si="24"/>
        <v>200000</v>
      </c>
      <c r="J69" s="40">
        <f t="shared" si="23"/>
        <v>200000</v>
      </c>
      <c r="K69" s="40">
        <f t="shared" si="23"/>
        <v>200000</v>
      </c>
      <c r="L69" s="40">
        <f t="shared" si="23"/>
        <v>200000</v>
      </c>
      <c r="M69" s="40">
        <f t="shared" si="23"/>
        <v>200000</v>
      </c>
      <c r="N69" s="40">
        <f t="shared" si="23"/>
        <v>200000</v>
      </c>
    </row>
    <row r="70" spans="1:14" x14ac:dyDescent="0.3">
      <c r="I70" s="40"/>
      <c r="J70" s="40"/>
      <c r="K70" s="40"/>
      <c r="L70" s="40"/>
      <c r="M70" s="40"/>
      <c r="N70" s="40"/>
    </row>
    <row r="71" spans="1:14" x14ac:dyDescent="0.3">
      <c r="B71" s="5" t="s">
        <v>30</v>
      </c>
      <c r="I71" s="40"/>
      <c r="J71" s="40"/>
      <c r="K71" s="40"/>
      <c r="L71" s="40"/>
      <c r="M71" s="40"/>
      <c r="N71" s="40"/>
    </row>
    <row r="72" spans="1:14" x14ac:dyDescent="0.3">
      <c r="B72" t="s">
        <v>31</v>
      </c>
      <c r="D72" s="8">
        <v>0.02</v>
      </c>
      <c r="E72" s="9" t="s">
        <v>33</v>
      </c>
      <c r="I72" s="40"/>
      <c r="J72" s="40"/>
      <c r="K72" s="40"/>
      <c r="L72" s="40"/>
      <c r="M72" s="40"/>
      <c r="N72" s="40"/>
    </row>
    <row r="73" spans="1:14" x14ac:dyDescent="0.3">
      <c r="B73" t="s">
        <v>32</v>
      </c>
      <c r="D73" s="8">
        <v>0.03</v>
      </c>
      <c r="E73" s="9" t="s">
        <v>33</v>
      </c>
      <c r="I73" s="40"/>
      <c r="J73" s="40"/>
      <c r="K73" s="40"/>
      <c r="L73" s="40"/>
      <c r="M73" s="40"/>
      <c r="N73" s="40"/>
    </row>
    <row r="74" spans="1:14" x14ac:dyDescent="0.3">
      <c r="I74" s="40"/>
      <c r="J74" s="40"/>
      <c r="K74" s="40"/>
      <c r="L74" s="40"/>
      <c r="M74" s="40"/>
      <c r="N74" s="40"/>
    </row>
    <row r="75" spans="1:14" s="1" customFormat="1" x14ac:dyDescent="0.3">
      <c r="A75" s="1" t="s">
        <v>34</v>
      </c>
      <c r="I75" s="41"/>
      <c r="J75" s="41"/>
      <c r="K75" s="41"/>
      <c r="L75" s="41"/>
      <c r="M75" s="41"/>
      <c r="N75" s="41"/>
    </row>
    <row r="76" spans="1:14" x14ac:dyDescent="0.3">
      <c r="I76" s="40"/>
      <c r="J76" s="40"/>
      <c r="K76" s="40"/>
      <c r="L76" s="40"/>
      <c r="M76" s="40"/>
      <c r="N76" s="40"/>
    </row>
    <row r="77" spans="1:14" x14ac:dyDescent="0.3">
      <c r="B77" t="s">
        <v>35</v>
      </c>
      <c r="D77">
        <v>10</v>
      </c>
      <c r="E77" s="9" t="s">
        <v>38</v>
      </c>
      <c r="I77" s="40"/>
      <c r="J77" s="40"/>
      <c r="K77" s="40"/>
      <c r="L77" s="40"/>
      <c r="M77" s="40"/>
      <c r="N77" s="40"/>
    </row>
    <row r="78" spans="1:14" x14ac:dyDescent="0.3">
      <c r="B78" t="s">
        <v>36</v>
      </c>
      <c r="D78">
        <v>6</v>
      </c>
      <c r="E78" s="9" t="s">
        <v>38</v>
      </c>
      <c r="I78" s="40"/>
      <c r="J78" s="40"/>
      <c r="K78" s="40"/>
      <c r="L78" s="40"/>
      <c r="M78" s="40"/>
      <c r="N78" s="40"/>
    </row>
    <row r="79" spans="1:14" x14ac:dyDescent="0.3">
      <c r="B79" t="s">
        <v>37</v>
      </c>
      <c r="D79">
        <v>5</v>
      </c>
      <c r="E79" s="9" t="s">
        <v>39</v>
      </c>
      <c r="I79" s="40"/>
      <c r="J79" s="40"/>
      <c r="K79" s="40"/>
      <c r="L79" s="40"/>
      <c r="M79" s="40"/>
      <c r="N79" s="40"/>
    </row>
    <row r="80" spans="1:14" x14ac:dyDescent="0.3">
      <c r="E80" s="10"/>
      <c r="I80" s="40"/>
      <c r="J80" s="40"/>
      <c r="K80" s="40"/>
      <c r="L80" s="40"/>
      <c r="M80" s="40"/>
      <c r="N80" s="40"/>
    </row>
    <row r="81" spans="1:14" s="1" customFormat="1" x14ac:dyDescent="0.3">
      <c r="A81" s="1" t="s">
        <v>40</v>
      </c>
      <c r="E81" s="11"/>
      <c r="I81" s="41"/>
      <c r="J81" s="41"/>
      <c r="K81" s="41"/>
      <c r="L81" s="41"/>
      <c r="M81" s="41"/>
      <c r="N81" s="41"/>
    </row>
    <row r="82" spans="1:14" x14ac:dyDescent="0.3">
      <c r="B82" t="s">
        <v>41</v>
      </c>
      <c r="D82" s="7">
        <v>2000000</v>
      </c>
      <c r="I82" s="40"/>
      <c r="J82" s="40"/>
      <c r="K82" s="40"/>
      <c r="L82" s="40"/>
      <c r="M82" s="40"/>
      <c r="N82" s="40"/>
    </row>
    <row r="83" spans="1:14" x14ac:dyDescent="0.3">
      <c r="B83" t="s">
        <v>42</v>
      </c>
      <c r="D83" s="7">
        <v>3500000</v>
      </c>
      <c r="I83" s="40"/>
      <c r="J83" s="40"/>
      <c r="K83" s="40"/>
      <c r="L83" s="40"/>
      <c r="M83" s="40"/>
      <c r="N83" s="40"/>
    </row>
    <row r="84" spans="1:14" x14ac:dyDescent="0.3">
      <c r="B84" t="s">
        <v>43</v>
      </c>
      <c r="D84" s="7">
        <v>2000000</v>
      </c>
      <c r="I84" s="40"/>
      <c r="J84" s="40"/>
      <c r="K84" s="40"/>
      <c r="L84" s="40"/>
      <c r="M84" s="40"/>
      <c r="N84" s="40"/>
    </row>
    <row r="85" spans="1:14" x14ac:dyDescent="0.3">
      <c r="B85" t="s">
        <v>44</v>
      </c>
      <c r="D85" s="7">
        <v>1000000</v>
      </c>
      <c r="I85" s="40"/>
      <c r="J85" s="40"/>
      <c r="K85" s="40"/>
      <c r="L85" s="40"/>
      <c r="M85" s="40"/>
      <c r="N85" s="40"/>
    </row>
    <row r="86" spans="1:14" ht="16.2" thickBot="1" x14ac:dyDescent="0.35">
      <c r="B86" s="12" t="s">
        <v>45</v>
      </c>
      <c r="C86" s="12"/>
      <c r="D86" s="13">
        <f>SUM(D82:D85)</f>
        <v>8500000</v>
      </c>
      <c r="I86" s="40"/>
      <c r="J86" s="40"/>
      <c r="K86" s="40"/>
      <c r="L86" s="40"/>
      <c r="M86" s="40"/>
      <c r="N86" s="40"/>
    </row>
    <row r="87" spans="1:14" ht="16.2" thickTop="1" x14ac:dyDescent="0.3">
      <c r="I87" s="40"/>
      <c r="J87" s="40"/>
      <c r="K87" s="40"/>
      <c r="L87" s="40"/>
      <c r="M87" s="40"/>
      <c r="N87" s="40"/>
    </row>
    <row r="88" spans="1:14" x14ac:dyDescent="0.3">
      <c r="B88" s="5" t="s">
        <v>46</v>
      </c>
      <c r="I88" s="40"/>
      <c r="J88" s="40"/>
      <c r="K88" s="40"/>
      <c r="L88" s="40"/>
      <c r="M88" s="40"/>
      <c r="N88" s="40"/>
    </row>
    <row r="89" spans="1:14" x14ac:dyDescent="0.3">
      <c r="B89" t="s">
        <v>41</v>
      </c>
      <c r="D89" s="8">
        <v>0.2</v>
      </c>
      <c r="I89" s="40"/>
      <c r="J89" s="40"/>
      <c r="K89" s="40"/>
      <c r="L89" s="40"/>
      <c r="M89" s="40"/>
      <c r="N89" s="40"/>
    </row>
    <row r="90" spans="1:14" x14ac:dyDescent="0.3">
      <c r="B90" t="s">
        <v>42</v>
      </c>
      <c r="D90" s="8">
        <v>0.1</v>
      </c>
      <c r="I90" s="40"/>
      <c r="J90" s="40"/>
      <c r="K90" s="40"/>
      <c r="L90" s="40"/>
      <c r="M90" s="40"/>
      <c r="N90" s="40"/>
    </row>
    <row r="91" spans="1:14" x14ac:dyDescent="0.3">
      <c r="B91" t="s">
        <v>43</v>
      </c>
      <c r="D91" s="8">
        <v>0.2</v>
      </c>
      <c r="I91" s="40"/>
      <c r="J91" s="40"/>
      <c r="K91" s="40"/>
      <c r="L91" s="40"/>
      <c r="M91" s="40"/>
      <c r="N91" s="40"/>
    </row>
    <row r="92" spans="1:14" x14ac:dyDescent="0.3">
      <c r="B92" t="s">
        <v>44</v>
      </c>
      <c r="D92" s="8">
        <v>0.1</v>
      </c>
      <c r="I92" s="40"/>
      <c r="J92" s="40"/>
      <c r="K92" s="40"/>
      <c r="L92" s="40"/>
      <c r="M92" s="40"/>
      <c r="N92" s="40"/>
    </row>
    <row r="93" spans="1:14" x14ac:dyDescent="0.3">
      <c r="I93" s="40"/>
      <c r="J93" s="40"/>
      <c r="K93" s="40"/>
      <c r="L93" s="40"/>
      <c r="M93" s="40"/>
      <c r="N93" s="40"/>
    </row>
    <row r="94" spans="1:14" x14ac:dyDescent="0.3">
      <c r="B94" s="5" t="s">
        <v>47</v>
      </c>
      <c r="I94" s="40"/>
      <c r="J94" s="40"/>
      <c r="K94" s="40"/>
      <c r="L94" s="40"/>
      <c r="M94" s="40"/>
      <c r="N94" s="40"/>
    </row>
    <row r="95" spans="1:14" x14ac:dyDescent="0.3">
      <c r="B95" t="s">
        <v>41</v>
      </c>
      <c r="D95">
        <f>1/D89</f>
        <v>5</v>
      </c>
      <c r="E95" s="9" t="s">
        <v>48</v>
      </c>
      <c r="I95" s="40">
        <f>IF(I$2&lt;=$D95,1,0)</f>
        <v>1</v>
      </c>
      <c r="J95" s="40">
        <f t="shared" ref="J95:N98" si="25">IF(J$2&lt;=$D95,1,0)</f>
        <v>1</v>
      </c>
      <c r="K95" s="40">
        <f t="shared" si="25"/>
        <v>1</v>
      </c>
      <c r="L95" s="40">
        <f t="shared" si="25"/>
        <v>1</v>
      </c>
      <c r="M95" s="40">
        <f t="shared" si="25"/>
        <v>1</v>
      </c>
      <c r="N95" s="40">
        <f t="shared" si="25"/>
        <v>0</v>
      </c>
    </row>
    <row r="96" spans="1:14" x14ac:dyDescent="0.3">
      <c r="B96" t="s">
        <v>42</v>
      </c>
      <c r="D96">
        <f t="shared" ref="D96:D98" si="26">1/D90</f>
        <v>10</v>
      </c>
      <c r="E96" s="9" t="s">
        <v>48</v>
      </c>
      <c r="I96" s="40">
        <f t="shared" ref="I96:I98" si="27">IF(I$2&lt;=$D96,1,0)</f>
        <v>1</v>
      </c>
      <c r="J96" s="40">
        <f t="shared" si="25"/>
        <v>1</v>
      </c>
      <c r="K96" s="40">
        <f t="shared" si="25"/>
        <v>1</v>
      </c>
      <c r="L96" s="40">
        <f t="shared" si="25"/>
        <v>1</v>
      </c>
      <c r="M96" s="40">
        <f t="shared" si="25"/>
        <v>1</v>
      </c>
      <c r="N96" s="40">
        <f t="shared" si="25"/>
        <v>1</v>
      </c>
    </row>
    <row r="97" spans="1:14" x14ac:dyDescent="0.3">
      <c r="B97" t="s">
        <v>43</v>
      </c>
      <c r="D97">
        <f t="shared" si="26"/>
        <v>5</v>
      </c>
      <c r="E97" s="9" t="s">
        <v>48</v>
      </c>
      <c r="I97" s="40">
        <f t="shared" si="27"/>
        <v>1</v>
      </c>
      <c r="J97" s="40">
        <f t="shared" si="25"/>
        <v>1</v>
      </c>
      <c r="K97" s="40">
        <f t="shared" si="25"/>
        <v>1</v>
      </c>
      <c r="L97" s="40">
        <f t="shared" si="25"/>
        <v>1</v>
      </c>
      <c r="M97" s="40">
        <f t="shared" si="25"/>
        <v>1</v>
      </c>
      <c r="N97" s="40">
        <f t="shared" si="25"/>
        <v>0</v>
      </c>
    </row>
    <row r="98" spans="1:14" x14ac:dyDescent="0.3">
      <c r="B98" t="s">
        <v>44</v>
      </c>
      <c r="D98">
        <f t="shared" si="26"/>
        <v>10</v>
      </c>
      <c r="E98" s="9" t="s">
        <v>48</v>
      </c>
      <c r="I98" s="40">
        <f t="shared" si="27"/>
        <v>1</v>
      </c>
      <c r="J98" s="40">
        <f t="shared" si="25"/>
        <v>1</v>
      </c>
      <c r="K98" s="40">
        <f t="shared" si="25"/>
        <v>1</v>
      </c>
      <c r="L98" s="40">
        <f t="shared" si="25"/>
        <v>1</v>
      </c>
      <c r="M98" s="40">
        <f t="shared" si="25"/>
        <v>1</v>
      </c>
      <c r="N98" s="40">
        <f t="shared" si="25"/>
        <v>1</v>
      </c>
    </row>
    <row r="99" spans="1:14" x14ac:dyDescent="0.3">
      <c r="I99" s="40"/>
      <c r="J99" s="40"/>
      <c r="K99" s="40"/>
      <c r="L99" s="40"/>
      <c r="M99" s="40"/>
      <c r="N99" s="40"/>
    </row>
    <row r="100" spans="1:14" s="1" customFormat="1" x14ac:dyDescent="0.3">
      <c r="A100" s="1" t="s">
        <v>49</v>
      </c>
      <c r="I100" s="41"/>
      <c r="J100" s="41"/>
      <c r="K100" s="41"/>
      <c r="L100" s="41"/>
      <c r="M100" s="41"/>
      <c r="N100" s="41"/>
    </row>
    <row r="101" spans="1:14" x14ac:dyDescent="0.3">
      <c r="I101" s="40"/>
      <c r="J101" s="40"/>
      <c r="K101" s="40"/>
      <c r="L101" s="40"/>
      <c r="M101" s="40"/>
      <c r="N101" s="40"/>
    </row>
    <row r="102" spans="1:14" x14ac:dyDescent="0.3">
      <c r="B102" t="s">
        <v>50</v>
      </c>
      <c r="D102" s="14">
        <v>15000000</v>
      </c>
      <c r="I102" s="40"/>
      <c r="J102" s="40"/>
      <c r="K102" s="40"/>
      <c r="L102" s="40"/>
      <c r="M102" s="40"/>
      <c r="N102" s="40"/>
    </row>
    <row r="103" spans="1:14" x14ac:dyDescent="0.3">
      <c r="I103" s="40"/>
      <c r="J103" s="40"/>
      <c r="K103" s="40"/>
      <c r="L103" s="40"/>
      <c r="M103" s="40"/>
      <c r="N103" s="40"/>
    </row>
    <row r="104" spans="1:14" x14ac:dyDescent="0.3">
      <c r="B104" s="5" t="s">
        <v>51</v>
      </c>
      <c r="I104" s="40"/>
      <c r="J104" s="40"/>
      <c r="K104" s="40"/>
      <c r="L104" s="40"/>
      <c r="M104" s="40"/>
      <c r="N104" s="40"/>
    </row>
    <row r="105" spans="1:14" x14ac:dyDescent="0.3">
      <c r="C105" t="s">
        <v>52</v>
      </c>
      <c r="D105" s="8">
        <v>0.4</v>
      </c>
      <c r="I105" s="40"/>
      <c r="J105" s="40"/>
      <c r="K105" s="40"/>
      <c r="L105" s="40"/>
      <c r="M105" s="40"/>
      <c r="N105" s="40"/>
    </row>
    <row r="106" spans="1:14" x14ac:dyDescent="0.3">
      <c r="C106" t="s">
        <v>53</v>
      </c>
      <c r="D106" s="8">
        <v>0.6</v>
      </c>
      <c r="I106" s="40"/>
      <c r="J106" s="40"/>
      <c r="K106" s="40"/>
      <c r="L106" s="40"/>
      <c r="M106" s="40"/>
      <c r="N106" s="40"/>
    </row>
    <row r="107" spans="1:14" x14ac:dyDescent="0.3">
      <c r="I107" s="40"/>
      <c r="J107" s="40"/>
      <c r="K107" s="40"/>
      <c r="L107" s="40"/>
      <c r="M107" s="40"/>
      <c r="N107" s="40"/>
    </row>
    <row r="108" spans="1:14" x14ac:dyDescent="0.3">
      <c r="B108" t="s">
        <v>54</v>
      </c>
      <c r="I108" s="40"/>
      <c r="J108" s="40"/>
      <c r="K108" s="40"/>
      <c r="L108" s="40"/>
      <c r="M108" s="40"/>
      <c r="N108" s="40"/>
    </row>
    <row r="109" spans="1:14" x14ac:dyDescent="0.3">
      <c r="C109" t="s">
        <v>52</v>
      </c>
      <c r="D109" s="14">
        <f>$D$102*D105</f>
        <v>6000000</v>
      </c>
      <c r="I109" s="40"/>
      <c r="J109" s="40"/>
      <c r="K109" s="40"/>
      <c r="L109" s="40"/>
      <c r="M109" s="40"/>
      <c r="N109" s="40"/>
    </row>
    <row r="110" spans="1:14" x14ac:dyDescent="0.3">
      <c r="C110" t="s">
        <v>53</v>
      </c>
      <c r="D110" s="14">
        <f>$D$102*D106</f>
        <v>9000000</v>
      </c>
      <c r="I110" s="40"/>
      <c r="J110" s="40"/>
      <c r="K110" s="40"/>
      <c r="L110" s="40"/>
      <c r="M110" s="40"/>
      <c r="N110" s="40"/>
    </row>
    <row r="111" spans="1:14" ht="16.2" thickBot="1" x14ac:dyDescent="0.35">
      <c r="D111" s="15">
        <f>SUM(D109:D110)</f>
        <v>15000000</v>
      </c>
      <c r="I111" s="40"/>
      <c r="J111" s="40"/>
      <c r="K111" s="40"/>
      <c r="L111" s="40"/>
      <c r="M111" s="40"/>
      <c r="N111" s="40"/>
    </row>
    <row r="112" spans="1:14" ht="16.2" thickTop="1" x14ac:dyDescent="0.3">
      <c r="I112" s="40"/>
      <c r="J112" s="40"/>
      <c r="K112" s="40"/>
      <c r="L112" s="40"/>
      <c r="M112" s="40"/>
      <c r="N112" s="40"/>
    </row>
    <row r="113" spans="1:14" x14ac:dyDescent="0.3">
      <c r="A113" t="s">
        <v>55</v>
      </c>
      <c r="I113" s="40"/>
      <c r="J113" s="40"/>
      <c r="K113" s="40"/>
      <c r="L113" s="40"/>
      <c r="M113" s="40"/>
      <c r="N113" s="40"/>
    </row>
    <row r="114" spans="1:14" x14ac:dyDescent="0.3">
      <c r="B114" t="s">
        <v>56</v>
      </c>
      <c r="D114" s="14">
        <f>D109</f>
        <v>6000000</v>
      </c>
      <c r="I114" s="40"/>
      <c r="J114" s="40"/>
      <c r="K114" s="40"/>
      <c r="L114" s="40"/>
      <c r="M114" s="40"/>
      <c r="N114" s="40"/>
    </row>
    <row r="115" spans="1:14" x14ac:dyDescent="0.3">
      <c r="B115" t="s">
        <v>57</v>
      </c>
      <c r="D115" s="3">
        <v>0.15</v>
      </c>
      <c r="I115" s="40"/>
      <c r="J115" s="40"/>
      <c r="K115" s="40"/>
      <c r="L115" s="40"/>
      <c r="M115" s="40"/>
      <c r="N115" s="40"/>
    </row>
    <row r="116" spans="1:14" x14ac:dyDescent="0.3">
      <c r="B116" t="s">
        <v>58</v>
      </c>
      <c r="D116">
        <v>6</v>
      </c>
      <c r="I116" s="40"/>
      <c r="J116" s="40"/>
      <c r="K116" s="40"/>
      <c r="L116" s="40"/>
      <c r="M116" s="40"/>
      <c r="N116" s="40"/>
    </row>
    <row r="117" spans="1:14" x14ac:dyDescent="0.3">
      <c r="I117" s="40"/>
      <c r="J117" s="40"/>
      <c r="K117" s="40"/>
      <c r="L117" s="40"/>
      <c r="M117" s="40"/>
      <c r="N117" s="40"/>
    </row>
    <row r="118" spans="1:14" x14ac:dyDescent="0.3">
      <c r="B118" t="s">
        <v>59</v>
      </c>
      <c r="D118" s="14">
        <f>-PMT(D115,D116,D114)</f>
        <v>1585421.4394043004</v>
      </c>
      <c r="I118" s="40"/>
      <c r="J118" s="40"/>
      <c r="K118" s="40"/>
      <c r="L118" s="40"/>
      <c r="M118" s="40"/>
      <c r="N118" s="40"/>
    </row>
    <row r="119" spans="1:14" x14ac:dyDescent="0.3">
      <c r="G119" t="s">
        <v>56</v>
      </c>
      <c r="I119" s="40">
        <f>-PPMT($D$115,I$2,$D$116,$D$114)</f>
        <v>685421.4394043003</v>
      </c>
      <c r="J119" s="40">
        <f t="shared" ref="J119:N119" si="28">-PPMT($D$115,J$2,$D$116,$D$114)</f>
        <v>788234.65531494538</v>
      </c>
      <c r="K119" s="40">
        <f t="shared" si="28"/>
        <v>906469.8536121872</v>
      </c>
      <c r="L119" s="40">
        <f t="shared" si="28"/>
        <v>1042440.3316540153</v>
      </c>
      <c r="M119" s="40">
        <f t="shared" si="28"/>
        <v>1198806.3814021177</v>
      </c>
      <c r="N119" s="40">
        <f t="shared" si="28"/>
        <v>1378627.3386124352</v>
      </c>
    </row>
    <row r="120" spans="1:14" x14ac:dyDescent="0.3">
      <c r="G120" t="s">
        <v>60</v>
      </c>
      <c r="I120" s="40">
        <f>-IPMT($D$115,I$2,$D$116,$D$114)</f>
        <v>900000.00000000012</v>
      </c>
      <c r="J120" s="40">
        <f t="shared" ref="J120:N120" si="29">-IPMT($D$115,J$2,$D$116,$D$114)</f>
        <v>797186.78408935503</v>
      </c>
      <c r="K120" s="40">
        <f t="shared" si="29"/>
        <v>678951.58579211321</v>
      </c>
      <c r="L120" s="40">
        <f t="shared" si="29"/>
        <v>542981.10775028507</v>
      </c>
      <c r="M120" s="40">
        <f t="shared" si="29"/>
        <v>386615.05800218286</v>
      </c>
      <c r="N120" s="40">
        <f t="shared" si="29"/>
        <v>206794.10079186523</v>
      </c>
    </row>
    <row r="121" spans="1:14" ht="16.2" thickBot="1" x14ac:dyDescent="0.35">
      <c r="I121" s="42">
        <f>SUM(I119:I120)</f>
        <v>1585421.4394043004</v>
      </c>
      <c r="J121" s="42">
        <f t="shared" ref="J121:N121" si="30">SUM(J119:J120)</f>
        <v>1585421.4394043004</v>
      </c>
      <c r="K121" s="42">
        <f t="shared" si="30"/>
        <v>1585421.4394043004</v>
      </c>
      <c r="L121" s="42">
        <f t="shared" si="30"/>
        <v>1585421.4394043004</v>
      </c>
      <c r="M121" s="42">
        <f t="shared" si="30"/>
        <v>1585421.4394043004</v>
      </c>
      <c r="N121" s="42">
        <f t="shared" si="30"/>
        <v>1585421.4394043004</v>
      </c>
    </row>
    <row r="122" spans="1:14" ht="16.2" thickTop="1" x14ac:dyDescent="0.3"/>
    <row r="124" spans="1:14" x14ac:dyDescent="0.3">
      <c r="I12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08C0-663B-4300-A749-BD679C87F544}">
  <dimension ref="A1:O155"/>
  <sheetViews>
    <sheetView showGridLines="0" topLeftCell="A125" zoomScale="78" zoomScaleNormal="59" workbookViewId="0">
      <selection activeCell="P113" sqref="P113"/>
    </sheetView>
  </sheetViews>
  <sheetFormatPr defaultRowHeight="15.6" x14ac:dyDescent="0.3"/>
  <cols>
    <col min="2" max="2" width="24.296875" bestFit="1" customWidth="1"/>
    <col min="4" max="4" width="14.296875" bestFit="1" customWidth="1"/>
    <col min="9" max="10" width="15.796875" bestFit="1" customWidth="1"/>
    <col min="11" max="14" width="15.8984375" bestFit="1" customWidth="1"/>
  </cols>
  <sheetData>
    <row r="1" spans="1:14" s="1" customFormat="1" x14ac:dyDescent="0.3">
      <c r="A1" s="37" t="s">
        <v>0</v>
      </c>
    </row>
    <row r="2" spans="1:14" s="1" customFormat="1" x14ac:dyDescent="0.3">
      <c r="A2" s="1" t="s">
        <v>1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4" s="1" customFormat="1" x14ac:dyDescent="0.3">
      <c r="A3" s="1" t="s">
        <v>2</v>
      </c>
      <c r="I3" s="4">
        <f>IF(I2=1,$D$8,H4+1)</f>
        <v>46753</v>
      </c>
      <c r="J3" s="4">
        <f t="shared" ref="J3:N3" si="0">IF(J2=1,$D$8,I4+1)</f>
        <v>47119</v>
      </c>
      <c r="K3" s="4">
        <f t="shared" si="0"/>
        <v>47484</v>
      </c>
      <c r="L3" s="4">
        <f t="shared" si="0"/>
        <v>47849</v>
      </c>
      <c r="M3" s="4">
        <f t="shared" si="0"/>
        <v>48214</v>
      </c>
      <c r="N3" s="4">
        <f t="shared" si="0"/>
        <v>48580</v>
      </c>
    </row>
    <row r="4" spans="1:14" s="1" customFormat="1" x14ac:dyDescent="0.3">
      <c r="A4" s="1" t="s">
        <v>3</v>
      </c>
      <c r="I4" s="4">
        <f>EDATE(I3,$D$11)-1</f>
        <v>47118</v>
      </c>
      <c r="J4" s="4">
        <f t="shared" ref="J4:N4" si="1">EDATE(J3,$D$11)-1</f>
        <v>47483</v>
      </c>
      <c r="K4" s="4">
        <f t="shared" si="1"/>
        <v>47848</v>
      </c>
      <c r="L4" s="4">
        <f t="shared" si="1"/>
        <v>48213</v>
      </c>
      <c r="M4" s="4">
        <f t="shared" si="1"/>
        <v>48579</v>
      </c>
      <c r="N4" s="4">
        <f t="shared" si="1"/>
        <v>48944</v>
      </c>
    </row>
    <row r="5" spans="1:14" s="1" customFormat="1" x14ac:dyDescent="0.3">
      <c r="A5" s="1" t="s">
        <v>4</v>
      </c>
      <c r="I5" s="1">
        <f>I4-I3</f>
        <v>365</v>
      </c>
      <c r="J5" s="1">
        <f t="shared" ref="J5:N5" si="2">J4-J3</f>
        <v>364</v>
      </c>
      <c r="K5" s="1">
        <f t="shared" si="2"/>
        <v>364</v>
      </c>
      <c r="L5" s="1">
        <f t="shared" si="2"/>
        <v>364</v>
      </c>
      <c r="M5" s="1">
        <f t="shared" si="2"/>
        <v>365</v>
      </c>
      <c r="N5" s="1">
        <f t="shared" si="2"/>
        <v>364</v>
      </c>
    </row>
    <row r="7" spans="1:14" s="1" customFormat="1" x14ac:dyDescent="0.3">
      <c r="A7" s="1" t="s">
        <v>5</v>
      </c>
    </row>
    <row r="8" spans="1:14" x14ac:dyDescent="0.3">
      <c r="B8" t="s">
        <v>6</v>
      </c>
      <c r="D8" s="2">
        <v>46753</v>
      </c>
    </row>
    <row r="9" spans="1:14" x14ac:dyDescent="0.3">
      <c r="B9" t="s">
        <v>7</v>
      </c>
      <c r="D9">
        <v>6</v>
      </c>
    </row>
    <row r="10" spans="1:14" x14ac:dyDescent="0.3">
      <c r="B10" t="s">
        <v>8</v>
      </c>
      <c r="D10" s="2">
        <f>EDATE(D8,D9*D11)-1</f>
        <v>48944</v>
      </c>
    </row>
    <row r="11" spans="1:14" x14ac:dyDescent="0.3">
      <c r="B11" t="s">
        <v>9</v>
      </c>
      <c r="D11">
        <v>12</v>
      </c>
    </row>
    <row r="12" spans="1:14" x14ac:dyDescent="0.3">
      <c r="B12" t="s">
        <v>10</v>
      </c>
      <c r="D12" s="3">
        <v>0.3</v>
      </c>
    </row>
    <row r="14" spans="1:14" s="1" customFormat="1" x14ac:dyDescent="0.3">
      <c r="A14" s="1" t="s">
        <v>62</v>
      </c>
    </row>
    <row r="15" spans="1:14" x14ac:dyDescent="0.3">
      <c r="B15" s="5"/>
    </row>
    <row r="16" spans="1:14" x14ac:dyDescent="0.3">
      <c r="B16" s="20" t="s">
        <v>61</v>
      </c>
      <c r="D16" s="7"/>
    </row>
    <row r="17" spans="2:14" x14ac:dyDescent="0.3">
      <c r="B17" t="s">
        <v>13</v>
      </c>
      <c r="D17" s="7"/>
      <c r="I17" s="17">
        <f>Input!I32</f>
        <v>99</v>
      </c>
      <c r="J17" s="17">
        <f>Input!J32</f>
        <v>108.9</v>
      </c>
      <c r="K17" s="17">
        <f>Input!K32</f>
        <v>119.79000000000002</v>
      </c>
      <c r="L17" s="17">
        <f>Input!L32</f>
        <v>131.76900000000003</v>
      </c>
      <c r="M17" s="17">
        <f>Input!M32</f>
        <v>144.94590000000005</v>
      </c>
      <c r="N17" s="17">
        <f>Input!N32</f>
        <v>159.44049000000007</v>
      </c>
    </row>
    <row r="18" spans="2:14" x14ac:dyDescent="0.3">
      <c r="B18" t="s">
        <v>14</v>
      </c>
      <c r="D18" s="7"/>
      <c r="I18" s="17">
        <f>Input!I33</f>
        <v>34</v>
      </c>
      <c r="J18" s="17">
        <f>Input!J33</f>
        <v>37.06</v>
      </c>
      <c r="K18" s="17">
        <f>Input!K33</f>
        <v>40.395400000000002</v>
      </c>
      <c r="L18" s="17">
        <f>Input!L33</f>
        <v>44.030986000000006</v>
      </c>
      <c r="M18" s="17">
        <f>Input!M33</f>
        <v>47.993774740000006</v>
      </c>
      <c r="N18" s="17">
        <f>Input!N33</f>
        <v>52.313214466600009</v>
      </c>
    </row>
    <row r="19" spans="2:14" x14ac:dyDescent="0.3">
      <c r="B19" t="s">
        <v>15</v>
      </c>
      <c r="D19" s="7"/>
      <c r="I19" s="17">
        <f>Input!I34</f>
        <v>92</v>
      </c>
      <c r="J19" s="17">
        <f>Input!J34</f>
        <v>103.96</v>
      </c>
      <c r="K19" s="17">
        <f>Input!K34</f>
        <v>117.47479999999999</v>
      </c>
      <c r="L19" s="17">
        <f>Input!L34</f>
        <v>132.74652399999997</v>
      </c>
      <c r="M19" s="17">
        <f>Input!M34</f>
        <v>150.00357211999994</v>
      </c>
      <c r="N19" s="17">
        <f>Input!N34</f>
        <v>169.50403649559993</v>
      </c>
    </row>
    <row r="20" spans="2:14" x14ac:dyDescent="0.3">
      <c r="B20" t="s">
        <v>16</v>
      </c>
      <c r="D20" s="7"/>
      <c r="I20" s="17">
        <f>Input!I35</f>
        <v>43</v>
      </c>
      <c r="J20" s="17">
        <f>Input!J35</f>
        <v>46.010000000000005</v>
      </c>
      <c r="K20" s="17">
        <f>Input!K35</f>
        <v>49.230700000000006</v>
      </c>
      <c r="L20" s="17">
        <f>Input!L35</f>
        <v>52.676849000000011</v>
      </c>
      <c r="M20" s="17">
        <f>Input!M35</f>
        <v>56.364228430000018</v>
      </c>
      <c r="N20" s="17">
        <f>Input!N35</f>
        <v>60.309724420100025</v>
      </c>
    </row>
    <row r="21" spans="2:14" x14ac:dyDescent="0.3">
      <c r="B21" t="s">
        <v>17</v>
      </c>
      <c r="D21" s="7"/>
      <c r="I21" s="17">
        <f>Input!I36</f>
        <v>90</v>
      </c>
      <c r="J21" s="17">
        <f>Input!J36</f>
        <v>99.000000000000014</v>
      </c>
      <c r="K21" s="17">
        <f>Input!K36</f>
        <v>108.90000000000002</v>
      </c>
      <c r="L21" s="17">
        <f>Input!L36</f>
        <v>119.79000000000003</v>
      </c>
      <c r="M21" s="17">
        <f>Input!M36</f>
        <v>131.76900000000006</v>
      </c>
      <c r="N21" s="17">
        <f>Input!N36</f>
        <v>144.94590000000008</v>
      </c>
    </row>
    <row r="22" spans="2:14" x14ac:dyDescent="0.3">
      <c r="B22" t="s">
        <v>18</v>
      </c>
      <c r="I22" s="17">
        <f>Input!I37</f>
        <v>88</v>
      </c>
      <c r="J22" s="17">
        <f>Input!J37</f>
        <v>95.04</v>
      </c>
      <c r="K22" s="17">
        <f>Input!K37</f>
        <v>102.64320000000001</v>
      </c>
      <c r="L22" s="17">
        <f>Input!L37</f>
        <v>110.85465600000002</v>
      </c>
      <c r="M22" s="17">
        <f>Input!M37</f>
        <v>119.72302848000002</v>
      </c>
      <c r="N22" s="17">
        <f>Input!N37</f>
        <v>129.30087075840004</v>
      </c>
    </row>
    <row r="23" spans="2:14" x14ac:dyDescent="0.3">
      <c r="B23" s="5"/>
      <c r="I23" s="17"/>
      <c r="J23" s="17"/>
      <c r="K23" s="17"/>
      <c r="L23" s="17"/>
      <c r="M23" s="17"/>
      <c r="N23" s="17"/>
    </row>
    <row r="24" spans="2:14" x14ac:dyDescent="0.3">
      <c r="B24" s="20" t="s">
        <v>63</v>
      </c>
      <c r="D24" s="3"/>
      <c r="I24" s="17"/>
      <c r="J24" s="17"/>
      <c r="K24" s="17"/>
      <c r="L24" s="17"/>
      <c r="M24" s="17"/>
      <c r="N24" s="17"/>
    </row>
    <row r="25" spans="2:14" x14ac:dyDescent="0.3">
      <c r="B25" t="s">
        <v>13</v>
      </c>
      <c r="D25" s="3"/>
      <c r="I25" s="17">
        <f>Input!I16</f>
        <v>40000</v>
      </c>
      <c r="J25" s="17">
        <f>Input!J16</f>
        <v>42400</v>
      </c>
      <c r="K25" s="17">
        <f>Input!K16</f>
        <v>44944</v>
      </c>
      <c r="L25" s="17">
        <f>Input!L16</f>
        <v>47640.639999999999</v>
      </c>
      <c r="M25" s="17">
        <f>Input!M16</f>
        <v>50499.078399999999</v>
      </c>
      <c r="N25" s="17">
        <f>Input!N16</f>
        <v>53529.023104</v>
      </c>
    </row>
    <row r="26" spans="2:14" x14ac:dyDescent="0.3">
      <c r="B26" t="s">
        <v>14</v>
      </c>
      <c r="D26" s="3"/>
      <c r="I26" s="17">
        <f>Input!I17</f>
        <v>22000</v>
      </c>
      <c r="J26" s="17">
        <f>Input!J17</f>
        <v>23540</v>
      </c>
      <c r="K26" s="17">
        <f>Input!K17</f>
        <v>25187.800000000003</v>
      </c>
      <c r="L26" s="17">
        <f>Input!L17</f>
        <v>26950.946000000004</v>
      </c>
      <c r="M26" s="17">
        <f>Input!M17</f>
        <v>28837.512220000004</v>
      </c>
      <c r="N26" s="17">
        <f>Input!N17</f>
        <v>30856.138075400006</v>
      </c>
    </row>
    <row r="27" spans="2:14" x14ac:dyDescent="0.3">
      <c r="B27" t="s">
        <v>15</v>
      </c>
      <c r="D27" s="3"/>
      <c r="I27" s="17">
        <f>Input!I18</f>
        <v>4000</v>
      </c>
      <c r="J27" s="17">
        <f>Input!J18</f>
        <v>4200</v>
      </c>
      <c r="K27" s="17">
        <f>Input!K18</f>
        <v>4410</v>
      </c>
      <c r="L27" s="17">
        <f>Input!L18</f>
        <v>4630.5</v>
      </c>
      <c r="M27" s="17">
        <f>Input!M18</f>
        <v>4862.0250000000005</v>
      </c>
      <c r="N27" s="17">
        <f>Input!N18</f>
        <v>5105.1262500000012</v>
      </c>
    </row>
    <row r="28" spans="2:14" x14ac:dyDescent="0.3">
      <c r="B28" t="s">
        <v>16</v>
      </c>
      <c r="D28" s="3"/>
      <c r="I28" s="17">
        <f>Input!I19</f>
        <v>30000</v>
      </c>
      <c r="J28" s="17">
        <f>Input!J19</f>
        <v>32400.000000000004</v>
      </c>
      <c r="K28" s="17">
        <f>Input!K19</f>
        <v>34992.000000000007</v>
      </c>
      <c r="L28" s="17">
        <f>Input!L19</f>
        <v>37791.360000000008</v>
      </c>
      <c r="M28" s="17">
        <f>Input!M19</f>
        <v>40814.668800000014</v>
      </c>
      <c r="N28" s="17">
        <f>Input!N19</f>
        <v>44079.84230400002</v>
      </c>
    </row>
    <row r="29" spans="2:14" x14ac:dyDescent="0.3">
      <c r="B29" t="s">
        <v>17</v>
      </c>
      <c r="D29" s="3"/>
      <c r="I29" s="17">
        <f>Input!I20</f>
        <v>7000</v>
      </c>
      <c r="J29" s="17">
        <f>Input!J20</f>
        <v>7770.0000000000009</v>
      </c>
      <c r="K29" s="17">
        <f>Input!K20</f>
        <v>8624.7000000000025</v>
      </c>
      <c r="L29" s="17">
        <f>Input!L20</f>
        <v>9573.4170000000031</v>
      </c>
      <c r="M29" s="17">
        <f>Input!M20</f>
        <v>10626.492870000004</v>
      </c>
      <c r="N29" s="17">
        <f>Input!N20</f>
        <v>11795.407085700004</v>
      </c>
    </row>
    <row r="30" spans="2:14" x14ac:dyDescent="0.3">
      <c r="B30" t="s">
        <v>18</v>
      </c>
      <c r="I30" s="17">
        <f>Input!I21</f>
        <v>9000</v>
      </c>
      <c r="J30" s="17">
        <f>Input!J21</f>
        <v>9270</v>
      </c>
      <c r="K30" s="17">
        <f>Input!K21</f>
        <v>9548.1</v>
      </c>
      <c r="L30" s="17">
        <f>Input!L21</f>
        <v>9834.5430000000015</v>
      </c>
      <c r="M30" s="17">
        <f>Input!M21</f>
        <v>10129.579290000001</v>
      </c>
      <c r="N30" s="17">
        <f>Input!N21</f>
        <v>10433.466668700003</v>
      </c>
    </row>
    <row r="31" spans="2:14" x14ac:dyDescent="0.3">
      <c r="B31" s="5"/>
      <c r="I31" s="17"/>
      <c r="J31" s="17"/>
      <c r="K31" s="17"/>
      <c r="L31" s="17"/>
      <c r="M31" s="17"/>
      <c r="N31" s="17"/>
    </row>
    <row r="32" spans="2:14" x14ac:dyDescent="0.3">
      <c r="B32" s="21" t="s">
        <v>45</v>
      </c>
      <c r="I32" s="17"/>
      <c r="J32" s="17"/>
      <c r="K32" s="17"/>
      <c r="L32" s="17"/>
      <c r="M32" s="17"/>
      <c r="N32" s="17"/>
    </row>
    <row r="33" spans="1:14" x14ac:dyDescent="0.3">
      <c r="B33" t="s">
        <v>13</v>
      </c>
      <c r="I33" s="14">
        <f>I17*I25</f>
        <v>3960000</v>
      </c>
      <c r="J33" s="14">
        <f t="shared" ref="J33:N33" si="3">J17*J25</f>
        <v>4617360</v>
      </c>
      <c r="K33" s="14">
        <f t="shared" si="3"/>
        <v>5383841.7600000007</v>
      </c>
      <c r="L33" s="14">
        <f t="shared" si="3"/>
        <v>6277559.4921600018</v>
      </c>
      <c r="M33" s="14">
        <f t="shared" si="3"/>
        <v>7319634.3678585626</v>
      </c>
      <c r="N33" s="14">
        <f t="shared" si="3"/>
        <v>8534693.6729230843</v>
      </c>
    </row>
    <row r="34" spans="1:14" x14ac:dyDescent="0.3">
      <c r="B34" t="s">
        <v>14</v>
      </c>
      <c r="I34" s="14">
        <f t="shared" ref="I34:N34" si="4">I18*I26</f>
        <v>748000</v>
      </c>
      <c r="J34" s="14">
        <f t="shared" si="4"/>
        <v>872392.4</v>
      </c>
      <c r="K34" s="14">
        <f t="shared" si="4"/>
        <v>1017471.2561200002</v>
      </c>
      <c r="L34" s="14">
        <f t="shared" si="4"/>
        <v>1186676.7260127563</v>
      </c>
      <c r="M34" s="14">
        <f t="shared" si="4"/>
        <v>1384021.0655486777</v>
      </c>
      <c r="N34" s="14">
        <f t="shared" si="4"/>
        <v>1614183.7687494229</v>
      </c>
    </row>
    <row r="35" spans="1:14" x14ac:dyDescent="0.3">
      <c r="B35" t="s">
        <v>15</v>
      </c>
      <c r="I35" s="14">
        <f t="shared" ref="I35:N35" si="5">I19*I27</f>
        <v>368000</v>
      </c>
      <c r="J35" s="14">
        <f t="shared" si="5"/>
        <v>436632</v>
      </c>
      <c r="K35" s="14">
        <f t="shared" si="5"/>
        <v>518063.86799999996</v>
      </c>
      <c r="L35" s="14">
        <f t="shared" si="5"/>
        <v>614682.77938199986</v>
      </c>
      <c r="M35" s="14">
        <f t="shared" si="5"/>
        <v>729321.11773674283</v>
      </c>
      <c r="N35" s="14">
        <f t="shared" si="5"/>
        <v>865339.50619464542</v>
      </c>
    </row>
    <row r="36" spans="1:14" x14ac:dyDescent="0.3">
      <c r="B36" t="s">
        <v>16</v>
      </c>
      <c r="I36" s="14">
        <f t="shared" ref="I36:N36" si="6">I20*I28</f>
        <v>1290000</v>
      </c>
      <c r="J36" s="14">
        <f t="shared" si="6"/>
        <v>1490724.0000000002</v>
      </c>
      <c r="K36" s="14">
        <f t="shared" si="6"/>
        <v>1722680.6544000006</v>
      </c>
      <c r="L36" s="14">
        <f t="shared" si="6"/>
        <v>1990729.7642246408</v>
      </c>
      <c r="M36" s="14">
        <f t="shared" si="6"/>
        <v>2300487.3155379957</v>
      </c>
      <c r="N36" s="14">
        <f t="shared" si="6"/>
        <v>2658443.1418357082</v>
      </c>
    </row>
    <row r="37" spans="1:14" x14ac:dyDescent="0.3">
      <c r="B37" t="s">
        <v>17</v>
      </c>
      <c r="I37" s="14">
        <f t="shared" ref="I37:N37" si="7">I21*I29</f>
        <v>630000</v>
      </c>
      <c r="J37" s="14">
        <f t="shared" si="7"/>
        <v>769230.00000000023</v>
      </c>
      <c r="K37" s="14">
        <f t="shared" si="7"/>
        <v>939229.83000000042</v>
      </c>
      <c r="L37" s="14">
        <f t="shared" si="7"/>
        <v>1146799.6224300007</v>
      </c>
      <c r="M37" s="14">
        <f t="shared" si="7"/>
        <v>1400242.3389870313</v>
      </c>
      <c r="N37" s="14">
        <f t="shared" si="7"/>
        <v>1709695.8959031652</v>
      </c>
    </row>
    <row r="38" spans="1:14" x14ac:dyDescent="0.3">
      <c r="B38" t="s">
        <v>18</v>
      </c>
      <c r="I38" s="14">
        <f t="shared" ref="I38:N38" si="8">I22*I30</f>
        <v>792000</v>
      </c>
      <c r="J38" s="14">
        <f t="shared" si="8"/>
        <v>881020.8</v>
      </c>
      <c r="K38" s="14">
        <f t="shared" si="8"/>
        <v>980047.53792000015</v>
      </c>
      <c r="L38" s="14">
        <f t="shared" si="8"/>
        <v>1090204.8811822084</v>
      </c>
      <c r="M38" s="14">
        <f t="shared" si="8"/>
        <v>1212743.9098270887</v>
      </c>
      <c r="N38" s="14">
        <f t="shared" si="8"/>
        <v>1349056.3252916536</v>
      </c>
    </row>
    <row r="39" spans="1:14" ht="16.2" thickBot="1" x14ac:dyDescent="0.35">
      <c r="B39" s="12" t="s">
        <v>64</v>
      </c>
      <c r="C39" s="12"/>
      <c r="D39" s="12"/>
      <c r="E39" s="12"/>
      <c r="F39" s="12"/>
      <c r="G39" s="12"/>
      <c r="H39" s="12"/>
      <c r="I39" s="15">
        <f>SUM(I33:I38)</f>
        <v>7788000</v>
      </c>
      <c r="J39" s="15">
        <f t="shared" ref="J39:N39" si="9">SUM(J33:J38)</f>
        <v>9067359.2000000011</v>
      </c>
      <c r="K39" s="15">
        <f t="shared" si="9"/>
        <v>10561334.906440001</v>
      </c>
      <c r="L39" s="15">
        <f t="shared" si="9"/>
        <v>12306653.265391607</v>
      </c>
      <c r="M39" s="15">
        <f t="shared" si="9"/>
        <v>14346450.115496099</v>
      </c>
      <c r="N39" s="15">
        <f t="shared" si="9"/>
        <v>16731412.31089768</v>
      </c>
    </row>
    <row r="40" spans="1:14" ht="16.2" thickTop="1" x14ac:dyDescent="0.3">
      <c r="I40" s="17"/>
      <c r="J40" s="17"/>
      <c r="K40" s="17"/>
      <c r="L40" s="17"/>
      <c r="M40" s="17"/>
      <c r="N40" s="17"/>
    </row>
    <row r="41" spans="1:14" s="1" customFormat="1" x14ac:dyDescent="0.3">
      <c r="A41" s="1" t="s">
        <v>22</v>
      </c>
      <c r="I41" s="39"/>
      <c r="J41" s="39"/>
      <c r="K41" s="39"/>
      <c r="L41" s="39"/>
      <c r="M41" s="39"/>
      <c r="N41" s="39"/>
    </row>
    <row r="42" spans="1:14" x14ac:dyDescent="0.3">
      <c r="I42" s="17"/>
      <c r="J42" s="17"/>
      <c r="K42" s="17"/>
      <c r="L42" s="17"/>
      <c r="M42" s="17"/>
      <c r="N42" s="17"/>
    </row>
    <row r="43" spans="1:14" x14ac:dyDescent="0.3">
      <c r="B43" s="5" t="s">
        <v>23</v>
      </c>
      <c r="I43" s="17"/>
      <c r="J43" s="17"/>
      <c r="K43" s="17"/>
      <c r="L43" s="17"/>
      <c r="M43" s="17"/>
      <c r="N43" s="17"/>
    </row>
    <row r="44" spans="1:14" x14ac:dyDescent="0.3">
      <c r="B44" t="s">
        <v>13</v>
      </c>
      <c r="D44" s="7"/>
      <c r="I44" s="17">
        <f>Input!I50</f>
        <v>30000</v>
      </c>
      <c r="J44" s="17">
        <f>Input!J50</f>
        <v>30900</v>
      </c>
      <c r="K44" s="17">
        <f>Input!K50</f>
        <v>31827</v>
      </c>
      <c r="L44" s="17">
        <f>Input!L50</f>
        <v>32781.81</v>
      </c>
      <c r="M44" s="17">
        <f>Input!M50</f>
        <v>33765.264299999995</v>
      </c>
      <c r="N44" s="17">
        <f>Input!N50</f>
        <v>34778.222228999999</v>
      </c>
    </row>
    <row r="45" spans="1:14" x14ac:dyDescent="0.3">
      <c r="B45" t="s">
        <v>14</v>
      </c>
      <c r="D45" s="7"/>
      <c r="I45" s="17">
        <f>Input!I51</f>
        <v>19000</v>
      </c>
      <c r="J45" s="17">
        <f>Input!J51</f>
        <v>19950</v>
      </c>
      <c r="K45" s="17">
        <f>Input!K51</f>
        <v>20947.5</v>
      </c>
      <c r="L45" s="17">
        <f>Input!L51</f>
        <v>21994.875</v>
      </c>
      <c r="M45" s="17">
        <f>Input!M51</f>
        <v>23094.618750000001</v>
      </c>
      <c r="N45" s="17">
        <f>Input!N51</f>
        <v>24249.349687500002</v>
      </c>
    </row>
    <row r="46" spans="1:14" x14ac:dyDescent="0.3">
      <c r="B46" t="s">
        <v>15</v>
      </c>
      <c r="D46" s="7"/>
      <c r="I46" s="17">
        <f>Input!I52</f>
        <v>3000</v>
      </c>
      <c r="J46" s="17">
        <f>Input!J52</f>
        <v>3120</v>
      </c>
      <c r="K46" s="17">
        <f>Input!K52</f>
        <v>3244.8</v>
      </c>
      <c r="L46" s="17">
        <f>Input!L52</f>
        <v>3374.5920000000001</v>
      </c>
      <c r="M46" s="17">
        <f>Input!M52</f>
        <v>3509.5756800000004</v>
      </c>
      <c r="N46" s="17">
        <f>Input!N52</f>
        <v>3649.9587072000004</v>
      </c>
    </row>
    <row r="47" spans="1:14" x14ac:dyDescent="0.3">
      <c r="B47" t="s">
        <v>16</v>
      </c>
      <c r="D47" s="7"/>
      <c r="I47" s="17">
        <f>Input!I53</f>
        <v>21000</v>
      </c>
      <c r="J47" s="17">
        <f>Input!J53</f>
        <v>21840</v>
      </c>
      <c r="K47" s="17">
        <f>Input!K53</f>
        <v>22713.600000000002</v>
      </c>
      <c r="L47" s="17">
        <f>Input!L53</f>
        <v>23622.144000000004</v>
      </c>
      <c r="M47" s="17">
        <f>Input!M53</f>
        <v>24567.029760000005</v>
      </c>
      <c r="N47" s="17">
        <f>Input!N53</f>
        <v>25549.710950400007</v>
      </c>
    </row>
    <row r="48" spans="1:14" x14ac:dyDescent="0.3">
      <c r="B48" t="s">
        <v>17</v>
      </c>
      <c r="D48" s="7"/>
      <c r="I48" s="17">
        <f>Input!I54</f>
        <v>4000</v>
      </c>
      <c r="J48" s="17">
        <f>Input!J54</f>
        <v>4320</v>
      </c>
      <c r="K48" s="17">
        <f>Input!K54</f>
        <v>4665.6000000000004</v>
      </c>
      <c r="L48" s="17">
        <f>Input!L54</f>
        <v>5038.8480000000009</v>
      </c>
      <c r="M48" s="17">
        <f>Input!M54</f>
        <v>5441.9558400000014</v>
      </c>
      <c r="N48" s="17">
        <f>Input!N54</f>
        <v>5877.3123072000017</v>
      </c>
    </row>
    <row r="49" spans="1:14" x14ac:dyDescent="0.3">
      <c r="B49" t="s">
        <v>18</v>
      </c>
      <c r="D49" s="7"/>
      <c r="I49" s="17">
        <f>Input!I55</f>
        <v>5000</v>
      </c>
      <c r="J49" s="17">
        <f>Input!J55</f>
        <v>5100</v>
      </c>
      <c r="K49" s="17">
        <f>Input!K55</f>
        <v>5202</v>
      </c>
      <c r="L49" s="17">
        <f>Input!L55</f>
        <v>5306.04</v>
      </c>
      <c r="M49" s="17">
        <f>Input!M55</f>
        <v>5412.1607999999997</v>
      </c>
      <c r="N49" s="17">
        <f>Input!N55</f>
        <v>5520.4040159999995</v>
      </c>
    </row>
    <row r="50" spans="1:14" x14ac:dyDescent="0.3">
      <c r="I50" s="17"/>
      <c r="J50" s="17"/>
      <c r="K50" s="17"/>
      <c r="L50" s="17"/>
      <c r="M50" s="17"/>
      <c r="N50" s="17"/>
    </row>
    <row r="51" spans="1:14" x14ac:dyDescent="0.3">
      <c r="B51" s="5" t="s">
        <v>65</v>
      </c>
      <c r="I51" s="17"/>
      <c r="J51" s="17"/>
      <c r="K51" s="17"/>
      <c r="L51" s="17"/>
      <c r="M51" s="17"/>
      <c r="N51" s="17"/>
    </row>
    <row r="52" spans="1:14" x14ac:dyDescent="0.3">
      <c r="B52" t="s">
        <v>13</v>
      </c>
      <c r="D52" s="8"/>
      <c r="I52" s="14">
        <f>I44*I17</f>
        <v>2970000</v>
      </c>
      <c r="J52" s="14">
        <f t="shared" ref="J52:N52" si="10">J44*J17</f>
        <v>3365010</v>
      </c>
      <c r="K52" s="14">
        <f t="shared" si="10"/>
        <v>3812556.3300000005</v>
      </c>
      <c r="L52" s="14">
        <f t="shared" si="10"/>
        <v>4319626.3218900012</v>
      </c>
      <c r="M52" s="14">
        <f t="shared" si="10"/>
        <v>4894136.6227013711</v>
      </c>
      <c r="N52" s="14">
        <f t="shared" si="10"/>
        <v>5545056.7935206546</v>
      </c>
    </row>
    <row r="53" spans="1:14" x14ac:dyDescent="0.3">
      <c r="B53" t="s">
        <v>14</v>
      </c>
      <c r="D53" s="8"/>
      <c r="I53" s="14">
        <f t="shared" ref="I53:N57" si="11">I45*I18</f>
        <v>646000</v>
      </c>
      <c r="J53" s="14">
        <f t="shared" si="11"/>
        <v>739347</v>
      </c>
      <c r="K53" s="14">
        <f t="shared" si="11"/>
        <v>846182.64150000003</v>
      </c>
      <c r="L53" s="14">
        <f t="shared" si="11"/>
        <v>968456.0331967501</v>
      </c>
      <c r="M53" s="14">
        <f t="shared" si="11"/>
        <v>1108397.9299936807</v>
      </c>
      <c r="N53" s="14">
        <f t="shared" si="11"/>
        <v>1268561.4308777675</v>
      </c>
    </row>
    <row r="54" spans="1:14" x14ac:dyDescent="0.3">
      <c r="B54" t="s">
        <v>15</v>
      </c>
      <c r="D54" s="8"/>
      <c r="I54" s="14">
        <f t="shared" si="11"/>
        <v>276000</v>
      </c>
      <c r="J54" s="14">
        <f t="shared" si="11"/>
        <v>324355.19999999995</v>
      </c>
      <c r="K54" s="14">
        <f t="shared" si="11"/>
        <v>381182.23103999998</v>
      </c>
      <c r="L54" s="14">
        <f t="shared" si="11"/>
        <v>447965.35791820788</v>
      </c>
      <c r="M54" s="14">
        <f t="shared" si="11"/>
        <v>526448.88862547791</v>
      </c>
      <c r="N54" s="14">
        <f t="shared" si="11"/>
        <v>618682.73391266167</v>
      </c>
    </row>
    <row r="55" spans="1:14" x14ac:dyDescent="0.3">
      <c r="B55" t="s">
        <v>16</v>
      </c>
      <c r="D55" s="8"/>
      <c r="I55" s="14">
        <f t="shared" si="11"/>
        <v>903000</v>
      </c>
      <c r="J55" s="14">
        <f t="shared" si="11"/>
        <v>1004858.4000000001</v>
      </c>
      <c r="K55" s="14">
        <f t="shared" si="11"/>
        <v>1118206.4275200001</v>
      </c>
      <c r="L55" s="14">
        <f t="shared" si="11"/>
        <v>1244340.1125442565</v>
      </c>
      <c r="M55" s="14">
        <f t="shared" si="11"/>
        <v>1384701.6772392488</v>
      </c>
      <c r="N55" s="14">
        <f t="shared" si="11"/>
        <v>1540896.0264318364</v>
      </c>
    </row>
    <row r="56" spans="1:14" x14ac:dyDescent="0.3">
      <c r="B56" t="s">
        <v>17</v>
      </c>
      <c r="D56" s="8"/>
      <c r="I56" s="14">
        <f t="shared" si="11"/>
        <v>360000</v>
      </c>
      <c r="J56" s="14">
        <f t="shared" si="11"/>
        <v>427680.00000000006</v>
      </c>
      <c r="K56" s="14">
        <f t="shared" si="11"/>
        <v>508083.84000000014</v>
      </c>
      <c r="L56" s="14">
        <f t="shared" si="11"/>
        <v>603603.60192000028</v>
      </c>
      <c r="M56" s="14">
        <f t="shared" si="11"/>
        <v>717081.07908096048</v>
      </c>
      <c r="N56" s="14">
        <f t="shared" si="11"/>
        <v>851892.32194818114</v>
      </c>
    </row>
    <row r="57" spans="1:14" x14ac:dyDescent="0.3">
      <c r="B57" t="s">
        <v>18</v>
      </c>
      <c r="D57" s="8"/>
      <c r="I57" s="14">
        <f t="shared" si="11"/>
        <v>440000</v>
      </c>
      <c r="J57" s="14">
        <f t="shared" si="11"/>
        <v>484704.00000000006</v>
      </c>
      <c r="K57" s="14">
        <f t="shared" si="11"/>
        <v>533949.9264</v>
      </c>
      <c r="L57" s="14">
        <f t="shared" si="11"/>
        <v>588199.2389222401</v>
      </c>
      <c r="M57" s="14">
        <f t="shared" si="11"/>
        <v>647960.28159673966</v>
      </c>
      <c r="N57" s="14">
        <f t="shared" si="11"/>
        <v>713793.04620696849</v>
      </c>
    </row>
    <row r="58" spans="1:14" ht="16.2" thickBot="1" x14ac:dyDescent="0.35">
      <c r="B58" s="12" t="s">
        <v>66</v>
      </c>
      <c r="C58" s="12"/>
      <c r="D58" s="23"/>
      <c r="E58" s="12"/>
      <c r="F58" s="12"/>
      <c r="G58" s="12"/>
      <c r="H58" s="12"/>
      <c r="I58" s="15">
        <f>SUM(I52:I57)</f>
        <v>5595000</v>
      </c>
      <c r="J58" s="15">
        <f t="shared" ref="J58:N58" si="12">SUM(J52:J57)</f>
        <v>6345954.6000000006</v>
      </c>
      <c r="K58" s="15">
        <f t="shared" si="12"/>
        <v>7200161.3964600014</v>
      </c>
      <c r="L58" s="15">
        <f t="shared" si="12"/>
        <v>8172190.6663914556</v>
      </c>
      <c r="M58" s="15">
        <f t="shared" si="12"/>
        <v>9278726.4792374764</v>
      </c>
      <c r="N58" s="15">
        <f t="shared" si="12"/>
        <v>10538882.352898071</v>
      </c>
    </row>
    <row r="59" spans="1:14" ht="16.2" thickTop="1" x14ac:dyDescent="0.3">
      <c r="D59" s="8"/>
      <c r="I59" s="17"/>
      <c r="J59" s="17"/>
      <c r="K59" s="17"/>
      <c r="L59" s="17"/>
      <c r="M59" s="17"/>
      <c r="N59" s="17"/>
    </row>
    <row r="60" spans="1:14" x14ac:dyDescent="0.3">
      <c r="I60" s="17"/>
      <c r="J60" s="17"/>
      <c r="K60" s="17"/>
      <c r="L60" s="17"/>
      <c r="M60" s="17"/>
      <c r="N60" s="17"/>
    </row>
    <row r="61" spans="1:14" s="1" customFormat="1" x14ac:dyDescent="0.3">
      <c r="A61" s="1" t="s">
        <v>25</v>
      </c>
      <c r="I61" s="39"/>
      <c r="J61" s="39"/>
      <c r="K61" s="39"/>
      <c r="L61" s="39"/>
      <c r="M61" s="39"/>
      <c r="N61" s="39"/>
    </row>
    <row r="62" spans="1:14" x14ac:dyDescent="0.3">
      <c r="B62" s="5" t="s">
        <v>26</v>
      </c>
      <c r="I62" s="17"/>
      <c r="J62" s="17"/>
      <c r="K62" s="17"/>
      <c r="L62" s="17"/>
      <c r="M62" s="17"/>
      <c r="N62" s="17"/>
    </row>
    <row r="63" spans="1:14" x14ac:dyDescent="0.3">
      <c r="B63" t="s">
        <v>27</v>
      </c>
      <c r="D63" s="6"/>
      <c r="I63" s="14">
        <f>Input!I67</f>
        <v>300000</v>
      </c>
      <c r="J63" s="14">
        <f>Input!J67</f>
        <v>300000</v>
      </c>
      <c r="K63" s="14">
        <f>Input!K67</f>
        <v>300000</v>
      </c>
      <c r="L63" s="14">
        <f>Input!L67</f>
        <v>300000</v>
      </c>
      <c r="M63" s="14">
        <f>Input!M67</f>
        <v>300000</v>
      </c>
      <c r="N63" s="14">
        <f>Input!N67</f>
        <v>300000</v>
      </c>
    </row>
    <row r="64" spans="1:14" x14ac:dyDescent="0.3">
      <c r="B64" t="s">
        <v>28</v>
      </c>
      <c r="D64" s="6"/>
      <c r="I64" s="14">
        <f>Input!I68</f>
        <v>250000</v>
      </c>
      <c r="J64" s="14">
        <f>Input!J68</f>
        <v>250000</v>
      </c>
      <c r="K64" s="14">
        <f>Input!K68</f>
        <v>250000</v>
      </c>
      <c r="L64" s="14">
        <f>Input!L68</f>
        <v>250000</v>
      </c>
      <c r="M64" s="14">
        <f>Input!M68</f>
        <v>250000</v>
      </c>
      <c r="N64" s="14">
        <f>Input!N68</f>
        <v>250000</v>
      </c>
    </row>
    <row r="65" spans="1:14" x14ac:dyDescent="0.3">
      <c r="B65" t="s">
        <v>29</v>
      </c>
      <c r="D65" s="6"/>
      <c r="I65" s="14">
        <f>Input!I69</f>
        <v>200000</v>
      </c>
      <c r="J65" s="14">
        <f>Input!J69</f>
        <v>200000</v>
      </c>
      <c r="K65" s="14">
        <f>Input!K69</f>
        <v>200000</v>
      </c>
      <c r="L65" s="14">
        <f>Input!L69</f>
        <v>200000</v>
      </c>
      <c r="M65" s="14">
        <f>Input!M69</f>
        <v>200000</v>
      </c>
      <c r="N65" s="14">
        <f>Input!N69</f>
        <v>200000</v>
      </c>
    </row>
    <row r="66" spans="1:14" ht="16.2" thickBot="1" x14ac:dyDescent="0.35">
      <c r="B66" s="12" t="s">
        <v>67</v>
      </c>
      <c r="C66" s="12"/>
      <c r="D66" s="16"/>
      <c r="E66" s="12"/>
      <c r="F66" s="12"/>
      <c r="G66" s="12"/>
      <c r="H66" s="12"/>
      <c r="I66" s="15">
        <f>SUM(I63:I65)</f>
        <v>750000</v>
      </c>
      <c r="J66" s="15">
        <f t="shared" ref="J66:N66" si="13">SUM(J63:J65)</f>
        <v>750000</v>
      </c>
      <c r="K66" s="15">
        <f t="shared" si="13"/>
        <v>750000</v>
      </c>
      <c r="L66" s="15">
        <f t="shared" si="13"/>
        <v>750000</v>
      </c>
      <c r="M66" s="15">
        <f t="shared" si="13"/>
        <v>750000</v>
      </c>
      <c r="N66" s="15">
        <f t="shared" si="13"/>
        <v>750000</v>
      </c>
    </row>
    <row r="67" spans="1:14" ht="16.2" thickTop="1" x14ac:dyDescent="0.3">
      <c r="I67" s="14"/>
      <c r="J67" s="14"/>
      <c r="K67" s="14"/>
      <c r="L67" s="14"/>
      <c r="M67" s="14"/>
      <c r="N67" s="14"/>
    </row>
    <row r="68" spans="1:14" x14ac:dyDescent="0.3">
      <c r="B68" s="5" t="s">
        <v>30</v>
      </c>
      <c r="I68" s="14"/>
      <c r="J68" s="14"/>
      <c r="K68" s="14"/>
      <c r="L68" s="14"/>
      <c r="M68" s="14"/>
      <c r="N68" s="14"/>
    </row>
    <row r="69" spans="1:14" x14ac:dyDescent="0.3">
      <c r="B69" t="s">
        <v>31</v>
      </c>
      <c r="D69" s="8"/>
      <c r="E69" s="9"/>
      <c r="I69" s="14">
        <f>Input!$D72*Workings!I$39</f>
        <v>155760</v>
      </c>
      <c r="J69" s="14">
        <f>Input!$D72*Workings!J$39</f>
        <v>181347.18400000004</v>
      </c>
      <c r="K69" s="14">
        <f>Input!$D72*Workings!K$39</f>
        <v>211226.69812880002</v>
      </c>
      <c r="L69" s="14">
        <f>Input!$D72*Workings!L$39</f>
        <v>246133.06530783215</v>
      </c>
      <c r="M69" s="14">
        <f>Input!$D72*Workings!M$39</f>
        <v>286929.00230992201</v>
      </c>
      <c r="N69" s="14">
        <f>Input!$D72*Workings!N$39</f>
        <v>334628.24621795362</v>
      </c>
    </row>
    <row r="70" spans="1:14" x14ac:dyDescent="0.3">
      <c r="B70" t="s">
        <v>32</v>
      </c>
      <c r="D70" s="8"/>
      <c r="E70" s="9"/>
      <c r="I70" s="14">
        <f>Input!$D73*Workings!I$39</f>
        <v>233640</v>
      </c>
      <c r="J70" s="14">
        <f>Input!$D73*Workings!J$39</f>
        <v>272020.77600000001</v>
      </c>
      <c r="K70" s="14">
        <f>Input!$D73*Workings!K$39</f>
        <v>316840.04719320004</v>
      </c>
      <c r="L70" s="14">
        <f>Input!$D73*Workings!L$39</f>
        <v>369199.59796174819</v>
      </c>
      <c r="M70" s="14">
        <f>Input!$D73*Workings!M$39</f>
        <v>430393.50346488296</v>
      </c>
      <c r="N70" s="14">
        <f>Input!$D73*Workings!N$39</f>
        <v>501942.36932693038</v>
      </c>
    </row>
    <row r="71" spans="1:14" ht="16.8" thickBot="1" x14ac:dyDescent="0.4">
      <c r="B71" s="12" t="s">
        <v>67</v>
      </c>
      <c r="C71" s="12"/>
      <c r="D71" s="23"/>
      <c r="E71" s="24"/>
      <c r="F71" s="12"/>
      <c r="G71" s="12"/>
      <c r="H71" s="12"/>
      <c r="I71" s="15">
        <f>SUM(I69:I70)</f>
        <v>389400</v>
      </c>
      <c r="J71" s="15">
        <f t="shared" ref="J71:N71" si="14">SUM(J69:J70)</f>
        <v>453367.96000000008</v>
      </c>
      <c r="K71" s="15">
        <f t="shared" si="14"/>
        <v>528066.745322</v>
      </c>
      <c r="L71" s="15">
        <f t="shared" si="14"/>
        <v>615332.66326958034</v>
      </c>
      <c r="M71" s="15">
        <f t="shared" si="14"/>
        <v>717322.50577480497</v>
      </c>
      <c r="N71" s="15">
        <f t="shared" si="14"/>
        <v>836570.615544884</v>
      </c>
    </row>
    <row r="72" spans="1:14" ht="16.2" thickTop="1" x14ac:dyDescent="0.3">
      <c r="D72" s="8"/>
      <c r="E72" s="9"/>
      <c r="I72" s="14"/>
      <c r="J72" s="14"/>
      <c r="K72" s="14"/>
      <c r="L72" s="14"/>
      <c r="M72" s="14"/>
      <c r="N72" s="14"/>
    </row>
    <row r="73" spans="1:14" ht="16.8" thickBot="1" x14ac:dyDescent="0.4">
      <c r="B73" s="12" t="s">
        <v>68</v>
      </c>
      <c r="C73" s="12"/>
      <c r="D73" s="23"/>
      <c r="E73" s="24"/>
      <c r="F73" s="12"/>
      <c r="G73" s="12"/>
      <c r="H73" s="12"/>
      <c r="I73" s="15">
        <f>I66+I71</f>
        <v>1139400</v>
      </c>
      <c r="J73" s="15">
        <f t="shared" ref="J73:N73" si="15">J66+J71</f>
        <v>1203367.96</v>
      </c>
      <c r="K73" s="15">
        <f t="shared" si="15"/>
        <v>1278066.745322</v>
      </c>
      <c r="L73" s="15">
        <f t="shared" si="15"/>
        <v>1365332.6632695803</v>
      </c>
      <c r="M73" s="15">
        <f t="shared" si="15"/>
        <v>1467322.5057748049</v>
      </c>
      <c r="N73" s="15">
        <f t="shared" si="15"/>
        <v>1586570.615544884</v>
      </c>
    </row>
    <row r="74" spans="1:14" ht="16.2" thickTop="1" x14ac:dyDescent="0.3">
      <c r="D74" s="8"/>
      <c r="E74" s="9"/>
      <c r="I74" s="17"/>
      <c r="J74" s="17"/>
      <c r="K74" s="17"/>
      <c r="L74" s="17"/>
      <c r="M74" s="17"/>
      <c r="N74" s="17"/>
    </row>
    <row r="75" spans="1:14" x14ac:dyDescent="0.3">
      <c r="I75" s="17"/>
      <c r="J75" s="17"/>
      <c r="K75" s="17"/>
      <c r="L75" s="17"/>
      <c r="M75" s="17"/>
      <c r="N75" s="17"/>
    </row>
    <row r="76" spans="1:14" s="1" customFormat="1" x14ac:dyDescent="0.3">
      <c r="A76" s="1" t="s">
        <v>34</v>
      </c>
      <c r="I76" s="39"/>
      <c r="J76" s="39"/>
      <c r="K76" s="39"/>
      <c r="L76" s="39"/>
      <c r="M76" s="39"/>
      <c r="N76" s="39"/>
    </row>
    <row r="77" spans="1:14" x14ac:dyDescent="0.3">
      <c r="I77" s="17"/>
      <c r="J77" s="17"/>
      <c r="K77" s="17"/>
      <c r="L77" s="17"/>
      <c r="M77" s="17"/>
      <c r="N77" s="17"/>
    </row>
    <row r="78" spans="1:14" x14ac:dyDescent="0.3">
      <c r="B78" t="s">
        <v>35</v>
      </c>
      <c r="E78" s="9"/>
      <c r="I78" s="17">
        <f>Input!$D$77/Input!I$5*Workings!I39</f>
        <v>213369.86301369863</v>
      </c>
      <c r="J78" s="17">
        <f>Input!$D$77/Input!J$5*Workings!J39</f>
        <v>249103.27472527476</v>
      </c>
      <c r="K78" s="17">
        <f>Input!$D$77/Input!K$5*Workings!K39</f>
        <v>290146.56336373626</v>
      </c>
      <c r="L78" s="17">
        <f>Input!$D$77/Input!L$5*Workings!L39</f>
        <v>338094.86992834084</v>
      </c>
      <c r="M78" s="17">
        <f>Input!$D$77/Input!M$5*Workings!M39</f>
        <v>393053.42782181088</v>
      </c>
      <c r="N78" s="17">
        <f>Input!$D$77/Input!N$5*Workings!N39</f>
        <v>459654.18436532089</v>
      </c>
    </row>
    <row r="79" spans="1:14" x14ac:dyDescent="0.3">
      <c r="B79" t="s">
        <v>36</v>
      </c>
      <c r="E79" s="9"/>
      <c r="I79" s="17">
        <f>Input!$D$78/Input!I$5*Workings!I39</f>
        <v>128021.91780821916</v>
      </c>
      <c r="J79" s="17">
        <f>Input!$D$78/Input!J$5*Workings!J39</f>
        <v>149461.96483516486</v>
      </c>
      <c r="K79" s="17">
        <f>Input!$D$78/Input!K$5*Workings!K39</f>
        <v>174087.93801824178</v>
      </c>
      <c r="L79" s="17">
        <f>Input!$D$78/Input!L$5*Workings!L39</f>
        <v>202856.92195700452</v>
      </c>
      <c r="M79" s="17">
        <f>Input!$D$78/Input!M$5*Workings!M39</f>
        <v>235832.05669308655</v>
      </c>
      <c r="N79" s="17">
        <f>Input!$D$78/Input!N$5*Workings!N39</f>
        <v>275792.51061919256</v>
      </c>
    </row>
    <row r="80" spans="1:14" x14ac:dyDescent="0.3">
      <c r="B80" t="s">
        <v>37</v>
      </c>
      <c r="E80" s="9"/>
      <c r="I80" s="17">
        <f>Input!$D$79/Input!I$5*Workings!I58</f>
        <v>76643.835616438359</v>
      </c>
      <c r="J80" s="17">
        <f>Input!$D$79/Input!J$5*Workings!J58</f>
        <v>87169.706043956045</v>
      </c>
      <c r="K80" s="17">
        <f>Input!$D$79/Input!K$5*Workings!K58</f>
        <v>98903.315885439573</v>
      </c>
      <c r="L80" s="17">
        <f>Input!$D$79/Input!L$5*Workings!L58</f>
        <v>112255.36629658593</v>
      </c>
      <c r="M80" s="17">
        <f>Input!$D$79/Input!M$5*Workings!M58</f>
        <v>127105.84218133529</v>
      </c>
      <c r="N80" s="17">
        <f>Input!$D$79/Input!N$5*Workings!N58</f>
        <v>144764.86748486361</v>
      </c>
    </row>
    <row r="81" spans="1:15" x14ac:dyDescent="0.3">
      <c r="E81" s="10"/>
      <c r="I81" s="17"/>
      <c r="J81" s="17"/>
      <c r="K81" s="17"/>
      <c r="L81" s="17"/>
      <c r="M81" s="17"/>
      <c r="N81" s="17"/>
    </row>
    <row r="82" spans="1:15" s="1" customFormat="1" x14ac:dyDescent="0.3">
      <c r="A82" s="1" t="s">
        <v>40</v>
      </c>
      <c r="E82" s="11"/>
      <c r="I82" s="39"/>
      <c r="J82" s="39"/>
      <c r="K82" s="39"/>
      <c r="L82" s="39"/>
      <c r="M82" s="39"/>
      <c r="N82" s="39"/>
    </row>
    <row r="83" spans="1:15" x14ac:dyDescent="0.3">
      <c r="B83" s="20" t="s">
        <v>41</v>
      </c>
      <c r="D83" s="7"/>
      <c r="I83" s="17"/>
      <c r="J83" s="17"/>
      <c r="K83" s="17"/>
      <c r="L83" s="17"/>
      <c r="M83" s="17"/>
      <c r="N83" s="17"/>
    </row>
    <row r="84" spans="1:15" x14ac:dyDescent="0.3">
      <c r="B84" t="s">
        <v>69</v>
      </c>
      <c r="D84" s="7"/>
      <c r="I84" s="17">
        <f>H88</f>
        <v>0</v>
      </c>
      <c r="J84" s="17">
        <f>I88</f>
        <v>1600000</v>
      </c>
      <c r="K84" s="17">
        <f t="shared" ref="K84:N84" si="16">J88</f>
        <v>1200000</v>
      </c>
      <c r="L84" s="17">
        <f t="shared" si="16"/>
        <v>800000</v>
      </c>
      <c r="M84" s="17">
        <f t="shared" si="16"/>
        <v>400000</v>
      </c>
      <c r="N84" s="17">
        <f t="shared" si="16"/>
        <v>0</v>
      </c>
    </row>
    <row r="85" spans="1:15" x14ac:dyDescent="0.3">
      <c r="B85" t="s">
        <v>70</v>
      </c>
      <c r="D85" s="7"/>
      <c r="I85" s="17">
        <f>Input!D82</f>
        <v>2000000</v>
      </c>
      <c r="J85" s="17">
        <f>Input!E82</f>
        <v>0</v>
      </c>
      <c r="K85" s="17">
        <f>Input!F82</f>
        <v>0</v>
      </c>
      <c r="L85" s="17">
        <f>Input!G82</f>
        <v>0</v>
      </c>
      <c r="M85" s="17">
        <f>Input!H82</f>
        <v>0</v>
      </c>
      <c r="N85" s="17">
        <f>Input!I82</f>
        <v>0</v>
      </c>
      <c r="O85" s="6"/>
    </row>
    <row r="86" spans="1:15" x14ac:dyDescent="0.3">
      <c r="B86" t="s">
        <v>71</v>
      </c>
      <c r="D86" s="7"/>
      <c r="I86" s="17">
        <f>Input!$D$82/Input!$D$95*Input!I95</f>
        <v>400000</v>
      </c>
      <c r="J86" s="17">
        <f>Input!$D$82/Input!$D$95*Input!J95</f>
        <v>400000</v>
      </c>
      <c r="K86" s="17">
        <f>Input!$D$82/Input!$D$95*Input!K95</f>
        <v>400000</v>
      </c>
      <c r="L86" s="17">
        <f>Input!$D$82/Input!$D$95*Input!L95</f>
        <v>400000</v>
      </c>
      <c r="M86" s="17">
        <f>Input!$D$82/Input!$D$95*Input!M95</f>
        <v>400000</v>
      </c>
      <c r="N86" s="17">
        <f>Input!$D$82/Input!$D$95*Input!N95</f>
        <v>0</v>
      </c>
    </row>
    <row r="87" spans="1:15" x14ac:dyDescent="0.3">
      <c r="B87" s="27" t="s">
        <v>72</v>
      </c>
      <c r="C87" s="21"/>
      <c r="D87" s="25"/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</row>
    <row r="88" spans="1:15" ht="16.2" thickBot="1" x14ac:dyDescent="0.35">
      <c r="B88" s="12" t="s">
        <v>73</v>
      </c>
      <c r="C88" s="12"/>
      <c r="D88" s="12"/>
      <c r="E88" s="12"/>
      <c r="F88" s="12"/>
      <c r="G88" s="12"/>
      <c r="H88" s="12"/>
      <c r="I88" s="34">
        <f>I84+I85-I86-I87</f>
        <v>1600000</v>
      </c>
      <c r="J88" s="34">
        <f t="shared" ref="J88:N88" si="17">J84+J85-J86-J87</f>
        <v>1200000</v>
      </c>
      <c r="K88" s="34">
        <f t="shared" si="17"/>
        <v>800000</v>
      </c>
      <c r="L88" s="34">
        <f t="shared" si="17"/>
        <v>400000</v>
      </c>
      <c r="M88" s="34">
        <f t="shared" si="17"/>
        <v>0</v>
      </c>
      <c r="N88" s="34">
        <f t="shared" si="17"/>
        <v>0</v>
      </c>
    </row>
    <row r="89" spans="1:15" ht="16.2" thickTop="1" x14ac:dyDescent="0.3">
      <c r="B89" s="5"/>
      <c r="I89" s="17"/>
      <c r="J89" s="17"/>
      <c r="K89" s="17"/>
      <c r="L89" s="17"/>
      <c r="M89" s="17"/>
      <c r="N89" s="17"/>
    </row>
    <row r="90" spans="1:15" x14ac:dyDescent="0.3">
      <c r="B90" s="20" t="s">
        <v>74</v>
      </c>
      <c r="D90" s="26"/>
      <c r="I90" s="17"/>
      <c r="J90" s="17"/>
      <c r="K90" s="17"/>
      <c r="L90" s="17"/>
      <c r="M90" s="17"/>
      <c r="N90" s="17"/>
    </row>
    <row r="91" spans="1:15" x14ac:dyDescent="0.3">
      <c r="B91" t="s">
        <v>69</v>
      </c>
      <c r="D91" s="26"/>
      <c r="I91" s="14">
        <f>H95</f>
        <v>0</v>
      </c>
      <c r="J91" s="14">
        <f t="shared" ref="J91:N91" si="18">I95</f>
        <v>3150000</v>
      </c>
      <c r="K91" s="14">
        <f t="shared" si="18"/>
        <v>2800000</v>
      </c>
      <c r="L91" s="14">
        <f t="shared" si="18"/>
        <v>2450000</v>
      </c>
      <c r="M91" s="14">
        <f t="shared" si="18"/>
        <v>2100000</v>
      </c>
      <c r="N91" s="14">
        <f t="shared" si="18"/>
        <v>1750000</v>
      </c>
    </row>
    <row r="92" spans="1:15" x14ac:dyDescent="0.3">
      <c r="B92" t="s">
        <v>70</v>
      </c>
      <c r="D92" s="26"/>
      <c r="I92" s="14">
        <f>Input!D83</f>
        <v>3500000</v>
      </c>
      <c r="J92" s="14">
        <f>Input!E83</f>
        <v>0</v>
      </c>
      <c r="K92" s="14">
        <f>Input!F83</f>
        <v>0</v>
      </c>
      <c r="L92" s="14">
        <f>Input!G83</f>
        <v>0</v>
      </c>
      <c r="M92" s="14">
        <f>Input!H83</f>
        <v>0</v>
      </c>
      <c r="N92" s="14">
        <f>Input!I83</f>
        <v>0</v>
      </c>
    </row>
    <row r="93" spans="1:15" x14ac:dyDescent="0.3">
      <c r="B93" t="s">
        <v>71</v>
      </c>
      <c r="D93" s="26"/>
      <c r="I93" s="14">
        <f>Input!$D$83/Input!$D$96*Input!I96</f>
        <v>350000</v>
      </c>
      <c r="J93" s="14">
        <f>Input!$D$83/Input!$D$96*Input!J96</f>
        <v>350000</v>
      </c>
      <c r="K93" s="14">
        <f>Input!$D$83/Input!$D$96*Input!K96</f>
        <v>350000</v>
      </c>
      <c r="L93" s="14">
        <f>Input!$D$83/Input!$D$96*Input!L96</f>
        <v>350000</v>
      </c>
      <c r="M93" s="14">
        <f>Input!$D$83/Input!$D$96*Input!M96</f>
        <v>350000</v>
      </c>
      <c r="N93" s="14">
        <f>Input!$D$83/Input!$D$96*Input!N96</f>
        <v>350000</v>
      </c>
    </row>
    <row r="94" spans="1:15" x14ac:dyDescent="0.3">
      <c r="B94" s="27" t="s">
        <v>72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5" ht="16.2" thickBot="1" x14ac:dyDescent="0.35">
      <c r="B95" s="12" t="s">
        <v>73</v>
      </c>
      <c r="C95" s="12"/>
      <c r="D95" s="12"/>
      <c r="E95" s="12"/>
      <c r="F95" s="12"/>
      <c r="G95" s="12"/>
      <c r="H95" s="12"/>
      <c r="I95" s="15">
        <f>I91+I92-I93-I94</f>
        <v>3150000</v>
      </c>
      <c r="J95" s="15">
        <f t="shared" ref="J95:N95" si="19">J91+J92-J93-J94</f>
        <v>2800000</v>
      </c>
      <c r="K95" s="15">
        <f t="shared" si="19"/>
        <v>2450000</v>
      </c>
      <c r="L95" s="15">
        <f t="shared" si="19"/>
        <v>2100000</v>
      </c>
      <c r="M95" s="15">
        <f t="shared" si="19"/>
        <v>1750000</v>
      </c>
      <c r="N95" s="15">
        <f t="shared" si="19"/>
        <v>1400000</v>
      </c>
    </row>
    <row r="96" spans="1:15" ht="16.2" thickTop="1" x14ac:dyDescent="0.3">
      <c r="E96" s="9"/>
      <c r="I96" s="14"/>
      <c r="J96" s="14"/>
      <c r="K96" s="14"/>
      <c r="L96" s="14"/>
      <c r="M96" s="14"/>
      <c r="N96" s="14"/>
    </row>
    <row r="97" spans="2:14" x14ac:dyDescent="0.3">
      <c r="E97" s="9"/>
      <c r="I97" s="14"/>
      <c r="J97" s="14"/>
      <c r="K97" s="14"/>
      <c r="L97" s="14"/>
      <c r="M97" s="14"/>
      <c r="N97" s="14"/>
    </row>
    <row r="98" spans="2:14" x14ac:dyDescent="0.3">
      <c r="B98" s="20" t="s">
        <v>43</v>
      </c>
      <c r="E98" s="9"/>
      <c r="I98" s="14"/>
      <c r="J98" s="14"/>
      <c r="K98" s="14"/>
      <c r="L98" s="14"/>
      <c r="M98" s="14"/>
      <c r="N98" s="14"/>
    </row>
    <row r="99" spans="2:14" x14ac:dyDescent="0.3">
      <c r="B99" t="s">
        <v>69</v>
      </c>
      <c r="E99" s="9"/>
      <c r="I99" s="14">
        <f>H103</f>
        <v>0</v>
      </c>
      <c r="J99" s="14">
        <f t="shared" ref="J99:N99" si="20">I103</f>
        <v>1600000</v>
      </c>
      <c r="K99" s="14">
        <f t="shared" si="20"/>
        <v>1200000</v>
      </c>
      <c r="L99" s="14">
        <f t="shared" si="20"/>
        <v>800000</v>
      </c>
      <c r="M99" s="14">
        <f t="shared" si="20"/>
        <v>400000</v>
      </c>
      <c r="N99" s="14">
        <f t="shared" si="20"/>
        <v>0</v>
      </c>
    </row>
    <row r="100" spans="2:14" x14ac:dyDescent="0.3">
      <c r="B100" t="s">
        <v>70</v>
      </c>
      <c r="E100" s="9"/>
      <c r="I100" s="14">
        <f>Input!D84</f>
        <v>2000000</v>
      </c>
      <c r="J100" s="14">
        <f>Input!E84</f>
        <v>0</v>
      </c>
      <c r="K100" s="14">
        <f>Input!F84</f>
        <v>0</v>
      </c>
      <c r="L100" s="14">
        <f>Input!G84</f>
        <v>0</v>
      </c>
      <c r="M100" s="14">
        <f>Input!H84</f>
        <v>0</v>
      </c>
      <c r="N100" s="14">
        <f>Input!I84</f>
        <v>0</v>
      </c>
    </row>
    <row r="101" spans="2:14" x14ac:dyDescent="0.3">
      <c r="B101" t="s">
        <v>71</v>
      </c>
      <c r="E101" s="9"/>
      <c r="I101" s="14">
        <f>Input!$D$84/Input!$D$97*Input!I97</f>
        <v>400000</v>
      </c>
      <c r="J101" s="14">
        <f>Input!$D$84/Input!$D$97*Input!J97</f>
        <v>400000</v>
      </c>
      <c r="K101" s="14">
        <f>Input!$D$84/Input!$D$97*Input!K97</f>
        <v>400000</v>
      </c>
      <c r="L101" s="14">
        <f>Input!$D$84/Input!$D$97*Input!L97</f>
        <v>400000</v>
      </c>
      <c r="M101" s="14">
        <f>Input!$D$84/Input!$D$97*Input!M97</f>
        <v>400000</v>
      </c>
      <c r="N101" s="14">
        <f>Input!$D$84/Input!$D$97*Input!N97</f>
        <v>0</v>
      </c>
    </row>
    <row r="102" spans="2:14" x14ac:dyDescent="0.3">
      <c r="B102" s="27" t="s">
        <v>72</v>
      </c>
      <c r="E102" s="9"/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</row>
    <row r="103" spans="2:14" ht="16.8" thickBot="1" x14ac:dyDescent="0.4">
      <c r="B103" s="12" t="s">
        <v>73</v>
      </c>
      <c r="C103" s="12"/>
      <c r="D103" s="12"/>
      <c r="E103" s="24"/>
      <c r="F103" s="12"/>
      <c r="G103" s="12"/>
      <c r="H103" s="12"/>
      <c r="I103" s="15">
        <f>I99+I100-I101-I102</f>
        <v>1600000</v>
      </c>
      <c r="J103" s="15">
        <f t="shared" ref="J103:N103" si="21">J99+J100-J101-J102</f>
        <v>1200000</v>
      </c>
      <c r="K103" s="15">
        <f t="shared" si="21"/>
        <v>800000</v>
      </c>
      <c r="L103" s="15">
        <f t="shared" si="21"/>
        <v>400000</v>
      </c>
      <c r="M103" s="15">
        <f t="shared" si="21"/>
        <v>0</v>
      </c>
      <c r="N103" s="15">
        <f t="shared" si="21"/>
        <v>0</v>
      </c>
    </row>
    <row r="104" spans="2:14" ht="16.8" thickTop="1" x14ac:dyDescent="0.35">
      <c r="B104" s="21"/>
      <c r="C104" s="21"/>
      <c r="D104" s="21"/>
      <c r="E104" s="28"/>
      <c r="F104" s="21"/>
      <c r="G104" s="21"/>
      <c r="H104" s="21"/>
      <c r="I104" s="44"/>
      <c r="J104" s="44"/>
      <c r="K104" s="44"/>
      <c r="L104" s="44"/>
      <c r="M104" s="44"/>
      <c r="N104" s="44"/>
    </row>
    <row r="105" spans="2:14" ht="16.2" x14ac:dyDescent="0.35">
      <c r="B105" s="20" t="s">
        <v>44</v>
      </c>
      <c r="C105" s="21"/>
      <c r="D105" s="21"/>
      <c r="E105" s="28"/>
      <c r="F105" s="21"/>
      <c r="G105" s="21"/>
      <c r="H105" s="21"/>
      <c r="I105" s="44"/>
      <c r="J105" s="44"/>
      <c r="K105" s="44"/>
      <c r="L105" s="44"/>
      <c r="M105" s="44"/>
      <c r="N105" s="44"/>
    </row>
    <row r="106" spans="2:14" ht="16.2" x14ac:dyDescent="0.35">
      <c r="B106" t="s">
        <v>69</v>
      </c>
      <c r="C106" s="21"/>
      <c r="D106" s="21"/>
      <c r="E106" s="28"/>
      <c r="F106" s="21"/>
      <c r="G106" s="21"/>
      <c r="H106" s="21"/>
      <c r="I106" s="45">
        <f>H110</f>
        <v>0</v>
      </c>
      <c r="J106" s="45">
        <f t="shared" ref="J106:N106" si="22">I110</f>
        <v>900000</v>
      </c>
      <c r="K106" s="45">
        <f t="shared" si="22"/>
        <v>800000</v>
      </c>
      <c r="L106" s="45">
        <f t="shared" si="22"/>
        <v>700000</v>
      </c>
      <c r="M106" s="45">
        <f t="shared" si="22"/>
        <v>600000</v>
      </c>
      <c r="N106" s="45">
        <f t="shared" si="22"/>
        <v>500000</v>
      </c>
    </row>
    <row r="107" spans="2:14" ht="16.2" x14ac:dyDescent="0.35">
      <c r="B107" t="s">
        <v>70</v>
      </c>
      <c r="C107" s="21"/>
      <c r="D107" s="21"/>
      <c r="E107" s="28"/>
      <c r="F107" s="21"/>
      <c r="G107" s="21"/>
      <c r="H107" s="21"/>
      <c r="I107" s="45">
        <f>Input!D85</f>
        <v>1000000</v>
      </c>
      <c r="J107" s="45">
        <f>Input!E85</f>
        <v>0</v>
      </c>
      <c r="K107" s="45">
        <f>Input!F85</f>
        <v>0</v>
      </c>
      <c r="L107" s="45">
        <f>Input!G85</f>
        <v>0</v>
      </c>
      <c r="M107" s="45">
        <f>Input!H85</f>
        <v>0</v>
      </c>
      <c r="N107" s="45">
        <f>Input!I85</f>
        <v>0</v>
      </c>
    </row>
    <row r="108" spans="2:14" ht="16.2" x14ac:dyDescent="0.35">
      <c r="B108" t="s">
        <v>71</v>
      </c>
      <c r="C108" s="21"/>
      <c r="D108" s="21"/>
      <c r="E108" s="28"/>
      <c r="F108" s="21"/>
      <c r="G108" s="21"/>
      <c r="H108" s="21"/>
      <c r="I108" s="45">
        <f>Input!$D$85/Input!$D$98*Input!I98</f>
        <v>100000</v>
      </c>
      <c r="J108" s="45">
        <f>Input!$D$85/Input!$D$98*Input!J98</f>
        <v>100000</v>
      </c>
      <c r="K108" s="45">
        <f>Input!$D$85/Input!$D$98*Input!K98</f>
        <v>100000</v>
      </c>
      <c r="L108" s="45">
        <f>Input!$D$85/Input!$D$98*Input!L98</f>
        <v>100000</v>
      </c>
      <c r="M108" s="45">
        <f>Input!$D$85/Input!$D$98*Input!M98</f>
        <v>100000</v>
      </c>
      <c r="N108" s="45">
        <f>Input!$D$85/Input!$D$98*Input!N98</f>
        <v>100000</v>
      </c>
    </row>
    <row r="109" spans="2:14" x14ac:dyDescent="0.3">
      <c r="B109" s="27" t="s">
        <v>72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</row>
    <row r="110" spans="2:14" ht="16.2" thickBot="1" x14ac:dyDescent="0.35">
      <c r="B110" s="12" t="s">
        <v>73</v>
      </c>
      <c r="C110" s="12"/>
      <c r="D110" s="12"/>
      <c r="E110" s="12"/>
      <c r="F110" s="12"/>
      <c r="G110" s="12"/>
      <c r="H110" s="12"/>
      <c r="I110" s="15">
        <f t="shared" ref="I110:N110" si="23">I106+I107-I108-I109</f>
        <v>900000</v>
      </c>
      <c r="J110" s="15">
        <f t="shared" si="23"/>
        <v>800000</v>
      </c>
      <c r="K110" s="15">
        <f t="shared" si="23"/>
        <v>700000</v>
      </c>
      <c r="L110" s="15">
        <f t="shared" si="23"/>
        <v>600000</v>
      </c>
      <c r="M110" s="15">
        <f t="shared" si="23"/>
        <v>500000</v>
      </c>
      <c r="N110" s="15">
        <f t="shared" si="23"/>
        <v>400000</v>
      </c>
    </row>
    <row r="111" spans="2:14" ht="16.2" thickTop="1" x14ac:dyDescent="0.3">
      <c r="B111" s="21"/>
      <c r="C111" s="21"/>
      <c r="D111" s="21"/>
      <c r="E111" s="21"/>
      <c r="F111" s="21"/>
      <c r="G111" s="21"/>
      <c r="H111" s="21"/>
      <c r="I111" s="44"/>
      <c r="J111" s="44"/>
      <c r="K111" s="44"/>
      <c r="L111" s="44"/>
      <c r="M111" s="44"/>
      <c r="N111" s="44"/>
    </row>
    <row r="112" spans="2:14" x14ac:dyDescent="0.3">
      <c r="B112" s="20" t="s">
        <v>70</v>
      </c>
      <c r="C112" s="21"/>
      <c r="D112" s="21"/>
      <c r="E112" s="21"/>
      <c r="F112" s="21"/>
      <c r="G112" s="21"/>
      <c r="H112" s="21"/>
      <c r="I112" s="44"/>
      <c r="J112" s="44"/>
      <c r="K112" s="44"/>
      <c r="L112" s="44"/>
      <c r="M112" s="44"/>
      <c r="N112" s="44"/>
    </row>
    <row r="113" spans="2:14" x14ac:dyDescent="0.3">
      <c r="B113" t="s">
        <v>41</v>
      </c>
      <c r="C113" s="21"/>
      <c r="D113" s="21"/>
      <c r="E113" s="21"/>
      <c r="F113" s="21"/>
      <c r="G113" s="21"/>
      <c r="H113" s="21"/>
      <c r="I113" s="14">
        <v>2000000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</row>
    <row r="114" spans="2:14" x14ac:dyDescent="0.3">
      <c r="B114" t="s">
        <v>42</v>
      </c>
      <c r="C114" s="21"/>
      <c r="D114" s="21"/>
      <c r="E114" s="21"/>
      <c r="F114" s="21"/>
      <c r="G114" s="21"/>
      <c r="H114" s="21"/>
      <c r="I114" s="14">
        <v>3500000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</row>
    <row r="115" spans="2:14" x14ac:dyDescent="0.3">
      <c r="B115" t="s">
        <v>43</v>
      </c>
      <c r="C115" s="21"/>
      <c r="D115" s="21"/>
      <c r="E115" s="21"/>
      <c r="F115" s="21"/>
      <c r="G115" s="21"/>
      <c r="H115" s="21"/>
      <c r="I115" s="14">
        <v>2000000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</row>
    <row r="116" spans="2:14" x14ac:dyDescent="0.3">
      <c r="B116" t="s">
        <v>44</v>
      </c>
      <c r="C116" s="21"/>
      <c r="D116" s="21"/>
      <c r="E116" s="21"/>
      <c r="F116" s="21"/>
      <c r="G116" s="21"/>
      <c r="H116" s="21"/>
      <c r="I116" s="14">
        <v>1000000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</row>
    <row r="117" spans="2:14" ht="16.2" thickBot="1" x14ac:dyDescent="0.35">
      <c r="B117" s="12" t="s">
        <v>75</v>
      </c>
      <c r="C117" s="12"/>
      <c r="D117" s="12"/>
      <c r="E117" s="12"/>
      <c r="F117" s="12"/>
      <c r="G117" s="12"/>
      <c r="H117" s="12"/>
      <c r="I117" s="15">
        <f>SUM(I113:I116)</f>
        <v>8500000</v>
      </c>
      <c r="J117" s="15">
        <f t="shared" ref="J117:N117" si="24">SUM(J113:J116)</f>
        <v>0</v>
      </c>
      <c r="K117" s="15">
        <f t="shared" si="24"/>
        <v>0</v>
      </c>
      <c r="L117" s="15">
        <f t="shared" si="24"/>
        <v>0</v>
      </c>
      <c r="M117" s="15">
        <f t="shared" si="24"/>
        <v>0</v>
      </c>
      <c r="N117" s="15">
        <f t="shared" si="24"/>
        <v>0</v>
      </c>
    </row>
    <row r="118" spans="2:14" ht="16.2" thickTop="1" x14ac:dyDescent="0.3">
      <c r="B118" s="21"/>
      <c r="C118" s="21"/>
      <c r="D118" s="21"/>
      <c r="E118" s="21"/>
      <c r="F118" s="21"/>
      <c r="G118" s="21"/>
      <c r="H118" s="21"/>
      <c r="I118" s="33"/>
      <c r="J118" s="33"/>
      <c r="K118" s="33"/>
      <c r="L118" s="33"/>
      <c r="M118" s="33"/>
      <c r="N118" s="33"/>
    </row>
    <row r="119" spans="2:14" x14ac:dyDescent="0.3">
      <c r="B119" s="20" t="s">
        <v>76</v>
      </c>
      <c r="C119" s="21"/>
      <c r="D119" s="21"/>
      <c r="E119" s="21"/>
      <c r="F119" s="21"/>
      <c r="G119" s="21"/>
      <c r="H119" s="21"/>
      <c r="I119" s="33"/>
      <c r="J119" s="33"/>
      <c r="K119" s="33"/>
      <c r="L119" s="33"/>
      <c r="M119" s="33"/>
      <c r="N119" s="33"/>
    </row>
    <row r="120" spans="2:14" x14ac:dyDescent="0.3">
      <c r="B120" t="s">
        <v>41</v>
      </c>
      <c r="C120" s="21"/>
      <c r="D120" s="21"/>
      <c r="E120" s="21"/>
      <c r="F120" s="21"/>
      <c r="G120" s="21"/>
      <c r="H120" s="21"/>
      <c r="I120" s="45">
        <f>I86</f>
        <v>400000</v>
      </c>
      <c r="J120" s="45">
        <f t="shared" ref="J120:N120" si="25">J86</f>
        <v>400000</v>
      </c>
      <c r="K120" s="45">
        <f t="shared" si="25"/>
        <v>400000</v>
      </c>
      <c r="L120" s="45">
        <f t="shared" si="25"/>
        <v>400000</v>
      </c>
      <c r="M120" s="45">
        <f t="shared" si="25"/>
        <v>400000</v>
      </c>
      <c r="N120" s="45">
        <f t="shared" si="25"/>
        <v>0</v>
      </c>
    </row>
    <row r="121" spans="2:14" x14ac:dyDescent="0.3">
      <c r="B121" t="s">
        <v>42</v>
      </c>
      <c r="C121" s="21"/>
      <c r="D121" s="21"/>
      <c r="E121" s="21"/>
      <c r="F121" s="21"/>
      <c r="G121" s="21"/>
      <c r="H121" s="21"/>
      <c r="I121" s="45">
        <f>I93</f>
        <v>350000</v>
      </c>
      <c r="J121" s="45">
        <f t="shared" ref="J121:N121" si="26">J93</f>
        <v>350000</v>
      </c>
      <c r="K121" s="45">
        <f t="shared" si="26"/>
        <v>350000</v>
      </c>
      <c r="L121" s="45">
        <f t="shared" si="26"/>
        <v>350000</v>
      </c>
      <c r="M121" s="45">
        <f t="shared" si="26"/>
        <v>350000</v>
      </c>
      <c r="N121" s="45">
        <f t="shared" si="26"/>
        <v>350000</v>
      </c>
    </row>
    <row r="122" spans="2:14" x14ac:dyDescent="0.3">
      <c r="B122" t="s">
        <v>43</v>
      </c>
      <c r="C122" s="21"/>
      <c r="D122" s="21"/>
      <c r="E122" s="21"/>
      <c r="F122" s="21"/>
      <c r="G122" s="21"/>
      <c r="H122" s="21"/>
      <c r="I122" s="45">
        <f>I101</f>
        <v>400000</v>
      </c>
      <c r="J122" s="45">
        <f t="shared" ref="J122:N122" si="27">J101</f>
        <v>400000</v>
      </c>
      <c r="K122" s="45">
        <f t="shared" si="27"/>
        <v>400000</v>
      </c>
      <c r="L122" s="45">
        <f t="shared" si="27"/>
        <v>400000</v>
      </c>
      <c r="M122" s="45">
        <f t="shared" si="27"/>
        <v>400000</v>
      </c>
      <c r="N122" s="45">
        <f t="shared" si="27"/>
        <v>0</v>
      </c>
    </row>
    <row r="123" spans="2:14" x14ac:dyDescent="0.3">
      <c r="B123" t="s">
        <v>44</v>
      </c>
      <c r="C123" s="21"/>
      <c r="D123" s="21"/>
      <c r="E123" s="21"/>
      <c r="F123" s="21"/>
      <c r="G123" s="21"/>
      <c r="H123" s="21"/>
      <c r="I123" s="45">
        <f>I108</f>
        <v>100000</v>
      </c>
      <c r="J123" s="45">
        <f t="shared" ref="J123:N123" si="28">J108</f>
        <v>100000</v>
      </c>
      <c r="K123" s="45">
        <f t="shared" si="28"/>
        <v>100000</v>
      </c>
      <c r="L123" s="45">
        <f t="shared" si="28"/>
        <v>100000</v>
      </c>
      <c r="M123" s="45">
        <f t="shared" si="28"/>
        <v>100000</v>
      </c>
      <c r="N123" s="45">
        <f t="shared" si="28"/>
        <v>100000</v>
      </c>
    </row>
    <row r="124" spans="2:14" ht="16.2" thickBot="1" x14ac:dyDescent="0.35">
      <c r="B124" s="12" t="s">
        <v>77</v>
      </c>
      <c r="C124" s="12"/>
      <c r="D124" s="12"/>
      <c r="E124" s="12"/>
      <c r="F124" s="12"/>
      <c r="G124" s="12"/>
      <c r="H124" s="12"/>
      <c r="I124" s="15">
        <f>SUM(I120:I123)</f>
        <v>1250000</v>
      </c>
      <c r="J124" s="15">
        <f t="shared" ref="J124:N124" si="29">SUM(J120:J123)</f>
        <v>1250000</v>
      </c>
      <c r="K124" s="15">
        <f t="shared" si="29"/>
        <v>1250000</v>
      </c>
      <c r="L124" s="15">
        <f t="shared" si="29"/>
        <v>1250000</v>
      </c>
      <c r="M124" s="15">
        <f t="shared" si="29"/>
        <v>1250000</v>
      </c>
      <c r="N124" s="15">
        <f t="shared" si="29"/>
        <v>450000</v>
      </c>
    </row>
    <row r="125" spans="2:14" ht="16.2" thickTop="1" x14ac:dyDescent="0.3">
      <c r="B125" s="21"/>
      <c r="C125" s="21"/>
      <c r="D125" s="21"/>
      <c r="E125" s="21"/>
      <c r="F125" s="21"/>
      <c r="G125" s="21"/>
      <c r="H125" s="21"/>
      <c r="I125" s="44"/>
      <c r="J125" s="44"/>
      <c r="K125" s="44"/>
      <c r="L125" s="44"/>
      <c r="M125" s="44"/>
      <c r="N125" s="44"/>
    </row>
    <row r="126" spans="2:14" x14ac:dyDescent="0.3">
      <c r="B126" s="20" t="s">
        <v>73</v>
      </c>
      <c r="C126" s="21"/>
      <c r="D126" s="21"/>
      <c r="E126" s="21"/>
      <c r="F126" s="21"/>
      <c r="G126" s="21"/>
      <c r="H126" s="21"/>
      <c r="I126" s="14"/>
      <c r="J126" s="44"/>
      <c r="K126" s="44"/>
      <c r="L126" s="44"/>
      <c r="M126" s="44"/>
      <c r="N126" s="44"/>
    </row>
    <row r="127" spans="2:14" x14ac:dyDescent="0.3">
      <c r="B127" t="s">
        <v>41</v>
      </c>
      <c r="C127" s="21"/>
      <c r="D127" s="21"/>
      <c r="E127" s="21"/>
      <c r="F127" s="21"/>
      <c r="G127" s="21"/>
      <c r="H127" s="21"/>
      <c r="I127" s="45">
        <f>I88</f>
        <v>1600000</v>
      </c>
      <c r="J127" s="45">
        <f t="shared" ref="J127:N127" si="30">J88</f>
        <v>1200000</v>
      </c>
      <c r="K127" s="45">
        <f t="shared" si="30"/>
        <v>800000</v>
      </c>
      <c r="L127" s="45">
        <f t="shared" si="30"/>
        <v>400000</v>
      </c>
      <c r="M127" s="45">
        <f t="shared" si="30"/>
        <v>0</v>
      </c>
      <c r="N127" s="45">
        <f t="shared" si="30"/>
        <v>0</v>
      </c>
    </row>
    <row r="128" spans="2:14" x14ac:dyDescent="0.3">
      <c r="B128" t="s">
        <v>42</v>
      </c>
      <c r="C128" s="21"/>
      <c r="D128" s="21"/>
      <c r="E128" s="21"/>
      <c r="F128" s="21"/>
      <c r="G128" s="21"/>
      <c r="H128" s="21"/>
      <c r="I128" s="45">
        <f>I95</f>
        <v>3150000</v>
      </c>
      <c r="J128" s="45">
        <f t="shared" ref="J128:N128" si="31">J95</f>
        <v>2800000</v>
      </c>
      <c r="K128" s="45">
        <f t="shared" si="31"/>
        <v>2450000</v>
      </c>
      <c r="L128" s="45">
        <f t="shared" si="31"/>
        <v>2100000</v>
      </c>
      <c r="M128" s="45">
        <f t="shared" si="31"/>
        <v>1750000</v>
      </c>
      <c r="N128" s="45">
        <f t="shared" si="31"/>
        <v>1400000</v>
      </c>
    </row>
    <row r="129" spans="1:14" x14ac:dyDescent="0.3">
      <c r="B129" t="s">
        <v>43</v>
      </c>
      <c r="C129" s="21"/>
      <c r="D129" s="21"/>
      <c r="E129" s="21"/>
      <c r="F129" s="21"/>
      <c r="G129" s="21"/>
      <c r="H129" s="21"/>
      <c r="I129" s="45">
        <f>I103</f>
        <v>1600000</v>
      </c>
      <c r="J129" s="45">
        <f t="shared" ref="J129:N129" si="32">J103</f>
        <v>1200000</v>
      </c>
      <c r="K129" s="45">
        <f t="shared" si="32"/>
        <v>800000</v>
      </c>
      <c r="L129" s="45">
        <f t="shared" si="32"/>
        <v>400000</v>
      </c>
      <c r="M129" s="45">
        <f t="shared" si="32"/>
        <v>0</v>
      </c>
      <c r="N129" s="45">
        <f t="shared" si="32"/>
        <v>0</v>
      </c>
    </row>
    <row r="130" spans="1:14" x14ac:dyDescent="0.3">
      <c r="B130" t="s">
        <v>44</v>
      </c>
      <c r="C130" s="21"/>
      <c r="D130" s="21"/>
      <c r="E130" s="21"/>
      <c r="F130" s="21"/>
      <c r="G130" s="21"/>
      <c r="H130" s="21"/>
      <c r="I130" s="45">
        <f>I110</f>
        <v>900000</v>
      </c>
      <c r="J130" s="45">
        <f t="shared" ref="J130:N130" si="33">J110</f>
        <v>800000</v>
      </c>
      <c r="K130" s="45">
        <f t="shared" si="33"/>
        <v>700000</v>
      </c>
      <c r="L130" s="45">
        <f t="shared" si="33"/>
        <v>600000</v>
      </c>
      <c r="M130" s="45">
        <f t="shared" si="33"/>
        <v>500000</v>
      </c>
      <c r="N130" s="45">
        <f t="shared" si="33"/>
        <v>400000</v>
      </c>
    </row>
    <row r="131" spans="1:14" ht="16.2" thickBot="1" x14ac:dyDescent="0.35">
      <c r="B131" s="12" t="s">
        <v>78</v>
      </c>
      <c r="C131" s="12"/>
      <c r="D131" s="12"/>
      <c r="E131" s="12"/>
      <c r="F131" s="12"/>
      <c r="G131" s="12"/>
      <c r="H131" s="12"/>
      <c r="I131" s="15">
        <f>SUM(I127:I130)</f>
        <v>7250000</v>
      </c>
      <c r="J131" s="15">
        <f t="shared" ref="J131:N131" si="34">SUM(J127:J130)</f>
        <v>6000000</v>
      </c>
      <c r="K131" s="15">
        <f t="shared" si="34"/>
        <v>4750000</v>
      </c>
      <c r="L131" s="15">
        <f t="shared" si="34"/>
        <v>3500000</v>
      </c>
      <c r="M131" s="15">
        <f t="shared" si="34"/>
        <v>2250000</v>
      </c>
      <c r="N131" s="15">
        <f t="shared" si="34"/>
        <v>1800000</v>
      </c>
    </row>
    <row r="132" spans="1:14" ht="16.2" thickTop="1" x14ac:dyDescent="0.3">
      <c r="B132" s="21"/>
      <c r="C132" s="21"/>
      <c r="D132" s="21"/>
      <c r="E132" s="21"/>
      <c r="F132" s="21"/>
      <c r="G132" s="21"/>
      <c r="H132" s="21"/>
      <c r="I132" s="44"/>
      <c r="J132" s="44"/>
      <c r="K132" s="44"/>
      <c r="L132" s="44"/>
      <c r="M132" s="44"/>
      <c r="N132" s="44"/>
    </row>
    <row r="133" spans="1:14" x14ac:dyDescent="0.3">
      <c r="B133" s="27"/>
      <c r="I133" s="14"/>
      <c r="J133" s="14"/>
      <c r="K133" s="14"/>
      <c r="L133" s="14"/>
      <c r="M133" s="14"/>
      <c r="N133" s="14"/>
    </row>
    <row r="134" spans="1:14" s="1" customFormat="1" x14ac:dyDescent="0.3">
      <c r="A134" s="1" t="s">
        <v>55</v>
      </c>
      <c r="I134" s="46"/>
      <c r="J134" s="46"/>
      <c r="K134" s="46"/>
      <c r="L134" s="46"/>
      <c r="M134" s="46"/>
      <c r="N134" s="46"/>
    </row>
    <row r="135" spans="1:14" x14ac:dyDescent="0.3">
      <c r="B135" t="s">
        <v>69</v>
      </c>
      <c r="I135" s="14">
        <f>H139</f>
        <v>0</v>
      </c>
      <c r="J135" s="14">
        <f t="shared" ref="J135:N135" si="35">I139</f>
        <v>5314578.5605956996</v>
      </c>
      <c r="K135" s="14">
        <f t="shared" si="35"/>
        <v>4526343.905280754</v>
      </c>
      <c r="L135" s="14">
        <f t="shared" si="35"/>
        <v>3619874.0516685667</v>
      </c>
      <c r="M135" s="14">
        <f t="shared" si="35"/>
        <v>2577433.7200145512</v>
      </c>
      <c r="N135" s="14">
        <f t="shared" si="35"/>
        <v>1378627.3386124335</v>
      </c>
    </row>
    <row r="136" spans="1:14" x14ac:dyDescent="0.3">
      <c r="B136" t="s">
        <v>79</v>
      </c>
      <c r="D136" s="14"/>
      <c r="I136" s="14">
        <f>Input!D114</f>
        <v>6000000</v>
      </c>
      <c r="J136" s="14">
        <f>Input!E102</f>
        <v>0</v>
      </c>
      <c r="K136" s="14">
        <f>Input!F102</f>
        <v>0</v>
      </c>
      <c r="L136" s="14">
        <f>Input!G102</f>
        <v>0</v>
      </c>
      <c r="M136" s="14">
        <f>Input!H102</f>
        <v>0</v>
      </c>
      <c r="N136" s="14">
        <f>Input!I102</f>
        <v>0</v>
      </c>
    </row>
    <row r="137" spans="1:14" x14ac:dyDescent="0.3">
      <c r="B137" t="s">
        <v>80</v>
      </c>
      <c r="I137" s="14">
        <f>Input!I120</f>
        <v>900000.00000000012</v>
      </c>
      <c r="J137" s="14">
        <f>Input!J120</f>
        <v>797186.78408935503</v>
      </c>
      <c r="K137" s="14">
        <f>Input!K120</f>
        <v>678951.58579211321</v>
      </c>
      <c r="L137" s="14">
        <f>Input!L120</f>
        <v>542981.10775028507</v>
      </c>
      <c r="M137" s="14">
        <f>Input!M120</f>
        <v>386615.05800218286</v>
      </c>
      <c r="N137" s="14">
        <f>Input!N120</f>
        <v>206794.10079186523</v>
      </c>
    </row>
    <row r="138" spans="1:14" x14ac:dyDescent="0.3">
      <c r="B138" t="s">
        <v>81</v>
      </c>
      <c r="I138" s="14">
        <f>Input!I121</f>
        <v>1585421.4394043004</v>
      </c>
      <c r="J138" s="14">
        <f>Input!J121</f>
        <v>1585421.4394043004</v>
      </c>
      <c r="K138" s="14">
        <f>Input!K121</f>
        <v>1585421.4394043004</v>
      </c>
      <c r="L138" s="14">
        <f>Input!L121</f>
        <v>1585421.4394043004</v>
      </c>
      <c r="M138" s="14">
        <f>Input!M121</f>
        <v>1585421.4394043004</v>
      </c>
      <c r="N138" s="14">
        <f>Input!N121</f>
        <v>1585421.4394043004</v>
      </c>
    </row>
    <row r="139" spans="1:14" ht="16.2" thickBot="1" x14ac:dyDescent="0.35">
      <c r="B139" s="12" t="s">
        <v>73</v>
      </c>
      <c r="C139" s="12"/>
      <c r="D139" s="23"/>
      <c r="E139" s="12"/>
      <c r="F139" s="12"/>
      <c r="G139" s="12"/>
      <c r="H139" s="12"/>
      <c r="I139" s="15">
        <f>I135+I136+I137-I138</f>
        <v>5314578.5605956996</v>
      </c>
      <c r="J139" s="15">
        <f t="shared" ref="J139:N139" si="36">J135+J136+J137-J138</f>
        <v>4526343.905280754</v>
      </c>
      <c r="K139" s="15">
        <f t="shared" si="36"/>
        <v>3619874.0516685667</v>
      </c>
      <c r="L139" s="15">
        <f t="shared" si="36"/>
        <v>2577433.7200145512</v>
      </c>
      <c r="M139" s="15">
        <f t="shared" si="36"/>
        <v>1378627.3386124335</v>
      </c>
      <c r="N139" s="15">
        <f t="shared" si="36"/>
        <v>0</v>
      </c>
    </row>
    <row r="140" spans="1:14" ht="16.2" thickTop="1" x14ac:dyDescent="0.3">
      <c r="D140" s="26"/>
      <c r="I140" s="14"/>
      <c r="J140" s="14"/>
      <c r="K140" s="14"/>
      <c r="L140" s="14"/>
      <c r="M140" s="14"/>
      <c r="N140" s="14"/>
    </row>
    <row r="141" spans="1:14" x14ac:dyDescent="0.3">
      <c r="I141" s="14"/>
      <c r="J141" s="14"/>
      <c r="K141" s="14"/>
      <c r="L141" s="14"/>
      <c r="M141" s="14"/>
      <c r="N141" s="14"/>
    </row>
    <row r="142" spans="1:14" s="1" customFormat="1" x14ac:dyDescent="0.3">
      <c r="A142" s="1" t="s">
        <v>82</v>
      </c>
      <c r="I142" s="46"/>
      <c r="J142" s="46"/>
      <c r="K142" s="46"/>
      <c r="L142" s="46"/>
      <c r="M142" s="46"/>
      <c r="N142" s="46"/>
    </row>
    <row r="143" spans="1:14" x14ac:dyDescent="0.3">
      <c r="B143" t="s">
        <v>69</v>
      </c>
      <c r="D143" s="14"/>
      <c r="I143" s="14">
        <f>H145</f>
        <v>0</v>
      </c>
      <c r="J143" s="14">
        <f t="shared" ref="J143:N143" si="37">I145</f>
        <v>9000000</v>
      </c>
      <c r="K143" s="14">
        <f t="shared" si="37"/>
        <v>9000000</v>
      </c>
      <c r="L143" s="14">
        <f t="shared" si="37"/>
        <v>9000000</v>
      </c>
      <c r="M143" s="14">
        <f t="shared" si="37"/>
        <v>9000000</v>
      </c>
      <c r="N143" s="14">
        <f t="shared" si="37"/>
        <v>9000000</v>
      </c>
    </row>
    <row r="144" spans="1:14" x14ac:dyDescent="0.3">
      <c r="B144" t="s">
        <v>83</v>
      </c>
      <c r="D144" s="14"/>
      <c r="I144" s="14">
        <f>Input!D110</f>
        <v>9000000</v>
      </c>
      <c r="J144" s="14">
        <f>Input!E110</f>
        <v>0</v>
      </c>
      <c r="K144" s="14">
        <f>Input!F110</f>
        <v>0</v>
      </c>
      <c r="L144" s="14">
        <f>Input!G110</f>
        <v>0</v>
      </c>
      <c r="M144" s="14">
        <f>Input!H110</f>
        <v>0</v>
      </c>
      <c r="N144" s="14">
        <f>Input!I110</f>
        <v>0</v>
      </c>
    </row>
    <row r="145" spans="1:14" ht="16.2" thickBot="1" x14ac:dyDescent="0.35">
      <c r="B145" s="12" t="s">
        <v>73</v>
      </c>
      <c r="C145" s="12"/>
      <c r="D145" s="15"/>
      <c r="E145" s="12"/>
      <c r="F145" s="12"/>
      <c r="G145" s="12"/>
      <c r="H145" s="12"/>
      <c r="I145" s="15">
        <f>I143+I144</f>
        <v>9000000</v>
      </c>
      <c r="J145" s="15">
        <f t="shared" ref="J145:N145" si="38">J143+J144</f>
        <v>9000000</v>
      </c>
      <c r="K145" s="15">
        <f t="shared" si="38"/>
        <v>9000000</v>
      </c>
      <c r="L145" s="15">
        <f t="shared" si="38"/>
        <v>9000000</v>
      </c>
      <c r="M145" s="15">
        <f t="shared" si="38"/>
        <v>9000000</v>
      </c>
      <c r="N145" s="15">
        <f t="shared" si="38"/>
        <v>9000000</v>
      </c>
    </row>
    <row r="146" spans="1:14" ht="16.2" thickTop="1" x14ac:dyDescent="0.3">
      <c r="I146" s="14"/>
      <c r="J146" s="14"/>
      <c r="K146" s="14"/>
      <c r="L146" s="14"/>
      <c r="M146" s="14"/>
      <c r="N146" s="14"/>
    </row>
    <row r="147" spans="1:14" s="1" customFormat="1" x14ac:dyDescent="0.3">
      <c r="A147" s="1" t="s">
        <v>84</v>
      </c>
      <c r="I147" s="46"/>
      <c r="J147" s="46"/>
      <c r="K147" s="46"/>
      <c r="L147" s="46"/>
      <c r="M147" s="46"/>
      <c r="N147" s="46"/>
    </row>
    <row r="148" spans="1:14" x14ac:dyDescent="0.3">
      <c r="B148" t="s">
        <v>85</v>
      </c>
      <c r="D148" s="14"/>
      <c r="I148" s="14">
        <f>H151</f>
        <v>0</v>
      </c>
      <c r="J148" s="14">
        <f t="shared" ref="J148:N148" si="39">I151</f>
        <v>-1096400</v>
      </c>
      <c r="K148" s="14">
        <f t="shared" si="39"/>
        <v>-1625550.1440893544</v>
      </c>
      <c r="L148" s="14">
        <f t="shared" si="39"/>
        <v>-1517641.5188832339</v>
      </c>
      <c r="M148" s="14">
        <f t="shared" si="39"/>
        <v>-834337.33929703385</v>
      </c>
      <c r="N148" s="14">
        <f t="shared" si="39"/>
        <v>540312.91144011077</v>
      </c>
    </row>
    <row r="149" spans="1:14" x14ac:dyDescent="0.3">
      <c r="B149" t="s">
        <v>86</v>
      </c>
      <c r="D149" s="3"/>
      <c r="I149" s="14">
        <f>'Income Statement'!I18</f>
        <v>-1096400</v>
      </c>
      <c r="J149" s="14">
        <f>'Income Statement'!J18</f>
        <v>-529150.14408935443</v>
      </c>
      <c r="K149" s="14">
        <f>'Income Statement'!K18</f>
        <v>107908.62520612049</v>
      </c>
      <c r="L149" s="14">
        <f>'Income Statement'!L18</f>
        <v>683304.17958620004</v>
      </c>
      <c r="M149" s="14">
        <f>'Income Statement'!M18</f>
        <v>1374650.2507371446</v>
      </c>
      <c r="N149" s="14">
        <f>'Income Statement'!N18</f>
        <v>2764415.6691640029</v>
      </c>
    </row>
    <row r="150" spans="1:14" x14ac:dyDescent="0.3">
      <c r="B150" t="s">
        <v>87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</row>
    <row r="151" spans="1:14" ht="16.2" thickBot="1" x14ac:dyDescent="0.35">
      <c r="A151" s="31"/>
      <c r="B151" s="12" t="s">
        <v>73</v>
      </c>
      <c r="C151" s="31"/>
      <c r="D151" s="31"/>
      <c r="E151" s="31"/>
      <c r="F151" s="31"/>
      <c r="G151" s="31"/>
      <c r="H151" s="31"/>
      <c r="I151" s="47">
        <f>I148+I149-I150</f>
        <v>-1096400</v>
      </c>
      <c r="J151" s="47">
        <f t="shared" ref="J151:N151" si="40">J148+J149-J150</f>
        <v>-1625550.1440893544</v>
      </c>
      <c r="K151" s="47">
        <f t="shared" si="40"/>
        <v>-1517641.5188832339</v>
      </c>
      <c r="L151" s="47">
        <f t="shared" si="40"/>
        <v>-834337.33929703385</v>
      </c>
      <c r="M151" s="47">
        <f t="shared" si="40"/>
        <v>540312.91144011077</v>
      </c>
      <c r="N151" s="47">
        <f t="shared" si="40"/>
        <v>3304728.5806041136</v>
      </c>
    </row>
    <row r="152" spans="1:14" ht="16.2" thickTop="1" x14ac:dyDescent="0.3">
      <c r="D152" s="14"/>
    </row>
    <row r="153" spans="1:14" x14ac:dyDescent="0.3">
      <c r="I153" s="6"/>
      <c r="J153" s="6"/>
      <c r="K153" s="6"/>
      <c r="L153" s="6"/>
      <c r="M153" s="6"/>
      <c r="N153" s="6"/>
    </row>
    <row r="154" spans="1:14" x14ac:dyDescent="0.3">
      <c r="I154" s="6"/>
      <c r="J154" s="6"/>
      <c r="K154" s="6"/>
      <c r="L154" s="6"/>
      <c r="M154" s="6"/>
      <c r="N154" s="6"/>
    </row>
    <row r="155" spans="1:14" x14ac:dyDescent="0.3">
      <c r="I155" s="22"/>
      <c r="J155" s="22"/>
      <c r="K155" s="22"/>
      <c r="L155" s="22"/>
      <c r="M155" s="22"/>
      <c r="N155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22D7-A714-439D-B4CE-A731FE3B751E}">
  <dimension ref="A1:N19"/>
  <sheetViews>
    <sheetView showGridLines="0" workbookViewId="0">
      <selection activeCell="K20" sqref="K20"/>
    </sheetView>
  </sheetViews>
  <sheetFormatPr defaultRowHeight="15.6" x14ac:dyDescent="0.3"/>
  <cols>
    <col min="9" max="10" width="14.296875" bestFit="1" customWidth="1"/>
    <col min="11" max="14" width="15.296875" bestFit="1" customWidth="1"/>
  </cols>
  <sheetData>
    <row r="1" spans="1:14" s="1" customFormat="1" x14ac:dyDescent="0.3">
      <c r="A1" s="37" t="s">
        <v>0</v>
      </c>
    </row>
    <row r="2" spans="1:14" s="1" customFormat="1" x14ac:dyDescent="0.3">
      <c r="A2" s="1" t="s">
        <v>1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4" s="1" customFormat="1" x14ac:dyDescent="0.3">
      <c r="A3" s="1" t="s">
        <v>2</v>
      </c>
      <c r="I3" s="4">
        <f>Input!I3</f>
        <v>46753</v>
      </c>
      <c r="J3" s="4">
        <f>Input!J3</f>
        <v>47119</v>
      </c>
      <c r="K3" s="4">
        <f>Input!K3</f>
        <v>47484</v>
      </c>
      <c r="L3" s="4">
        <f>Input!L3</f>
        <v>47849</v>
      </c>
      <c r="M3" s="4">
        <f>Input!M3</f>
        <v>48214</v>
      </c>
      <c r="N3" s="4">
        <f>Input!N3</f>
        <v>48580</v>
      </c>
    </row>
    <row r="4" spans="1:14" s="1" customFormat="1" x14ac:dyDescent="0.3">
      <c r="A4" s="1" t="s">
        <v>3</v>
      </c>
      <c r="I4" s="4">
        <f>Input!I4</f>
        <v>47118</v>
      </c>
      <c r="J4" s="4">
        <f>Input!J4</f>
        <v>47483</v>
      </c>
      <c r="K4" s="4">
        <f>Input!K4</f>
        <v>47848</v>
      </c>
      <c r="L4" s="4">
        <f>Input!L4</f>
        <v>48213</v>
      </c>
      <c r="M4" s="4">
        <f>Input!M4</f>
        <v>48579</v>
      </c>
      <c r="N4" s="4">
        <f>Input!N4</f>
        <v>48944</v>
      </c>
    </row>
    <row r="5" spans="1:14" s="1" customFormat="1" x14ac:dyDescent="0.3">
      <c r="A5" s="1" t="s">
        <v>4</v>
      </c>
      <c r="I5" s="1">
        <f>I4-I3</f>
        <v>365</v>
      </c>
      <c r="J5" s="1">
        <f t="shared" ref="J5:N5" si="0">J4-J3</f>
        <v>364</v>
      </c>
      <c r="K5" s="1">
        <f t="shared" si="0"/>
        <v>364</v>
      </c>
      <c r="L5" s="1">
        <f t="shared" si="0"/>
        <v>364</v>
      </c>
      <c r="M5" s="1">
        <f t="shared" si="0"/>
        <v>365</v>
      </c>
      <c r="N5" s="1">
        <f t="shared" si="0"/>
        <v>364</v>
      </c>
    </row>
    <row r="7" spans="1:14" s="1" customFormat="1" x14ac:dyDescent="0.3">
      <c r="A7" s="1" t="s">
        <v>88</v>
      </c>
    </row>
    <row r="8" spans="1:14" x14ac:dyDescent="0.3">
      <c r="B8" t="s">
        <v>89</v>
      </c>
      <c r="I8" s="7">
        <f>Workings!I39</f>
        <v>7788000</v>
      </c>
      <c r="J8" s="7">
        <f>Workings!J39</f>
        <v>9067359.2000000011</v>
      </c>
      <c r="K8" s="7">
        <f>Workings!K39</f>
        <v>10561334.906440001</v>
      </c>
      <c r="L8" s="7">
        <f>Workings!L39</f>
        <v>12306653.265391607</v>
      </c>
      <c r="M8" s="7">
        <f>Workings!M39</f>
        <v>14346450.115496099</v>
      </c>
      <c r="N8" s="7">
        <f>Workings!N39</f>
        <v>16731412.31089768</v>
      </c>
    </row>
    <row r="9" spans="1:14" x14ac:dyDescent="0.3">
      <c r="A9" s="29"/>
      <c r="B9" s="29" t="s">
        <v>90</v>
      </c>
      <c r="C9" s="29"/>
      <c r="D9" s="29"/>
      <c r="E9" s="29"/>
      <c r="F9" s="29"/>
      <c r="G9" s="29"/>
      <c r="H9" s="29"/>
      <c r="I9" s="38">
        <f>Workings!I58</f>
        <v>5595000</v>
      </c>
      <c r="J9" s="38">
        <f>Workings!J58</f>
        <v>6345954.6000000006</v>
      </c>
      <c r="K9" s="38">
        <f>Workings!K58</f>
        <v>7200161.3964600014</v>
      </c>
      <c r="L9" s="38">
        <f>Workings!L58</f>
        <v>8172190.6663914556</v>
      </c>
      <c r="M9" s="38">
        <f>Workings!M58</f>
        <v>9278726.4792374764</v>
      </c>
      <c r="N9" s="38">
        <f>Workings!N58</f>
        <v>10538882.352898071</v>
      </c>
    </row>
    <row r="10" spans="1:14" x14ac:dyDescent="0.3">
      <c r="B10" s="21" t="s">
        <v>91</v>
      </c>
      <c r="C10" s="21"/>
      <c r="D10" s="21"/>
      <c r="E10" s="21"/>
      <c r="F10" s="21"/>
      <c r="G10" s="21"/>
      <c r="H10" s="21"/>
      <c r="I10" s="25">
        <f>I8-I9</f>
        <v>2193000</v>
      </c>
      <c r="J10" s="25">
        <f t="shared" ref="J10:N10" si="1">J8-J9</f>
        <v>2721404.6000000006</v>
      </c>
      <c r="K10" s="25">
        <f t="shared" si="1"/>
        <v>3361173.5099799996</v>
      </c>
      <c r="L10" s="25">
        <f t="shared" si="1"/>
        <v>4134462.5990001513</v>
      </c>
      <c r="M10" s="25">
        <f t="shared" si="1"/>
        <v>5067723.6362586226</v>
      </c>
      <c r="N10" s="25">
        <f t="shared" si="1"/>
        <v>6192529.9579996094</v>
      </c>
    </row>
    <row r="11" spans="1:14" x14ac:dyDescent="0.3">
      <c r="A11" s="29"/>
      <c r="B11" s="29" t="s">
        <v>92</v>
      </c>
      <c r="C11" s="29"/>
      <c r="D11" s="29"/>
      <c r="E11" s="29"/>
      <c r="F11" s="29"/>
      <c r="G11" s="29"/>
      <c r="H11" s="29"/>
      <c r="I11" s="38">
        <f>Workings!I73</f>
        <v>1139400</v>
      </c>
      <c r="J11" s="38">
        <f>Workings!J73</f>
        <v>1203367.96</v>
      </c>
      <c r="K11" s="38">
        <f>Workings!K73</f>
        <v>1278066.745322</v>
      </c>
      <c r="L11" s="38">
        <f>Workings!L73</f>
        <v>1365332.6632695803</v>
      </c>
      <c r="M11" s="38">
        <f>Workings!M73</f>
        <v>1467322.5057748049</v>
      </c>
      <c r="N11" s="38">
        <f>Workings!N73</f>
        <v>1586570.615544884</v>
      </c>
    </row>
    <row r="12" spans="1:14" x14ac:dyDescent="0.3">
      <c r="A12" s="21"/>
      <c r="B12" s="21" t="s">
        <v>93</v>
      </c>
      <c r="C12" s="21"/>
      <c r="D12" s="21"/>
      <c r="E12" s="21"/>
      <c r="F12" s="21"/>
      <c r="G12" s="21"/>
      <c r="H12" s="21"/>
      <c r="I12" s="25">
        <f>I10-I11</f>
        <v>1053600</v>
      </c>
      <c r="J12" s="25">
        <f t="shared" ref="J12:N12" si="2">J10-J11</f>
        <v>1518036.6400000006</v>
      </c>
      <c r="K12" s="25">
        <f t="shared" si="2"/>
        <v>2083106.7646579996</v>
      </c>
      <c r="L12" s="25">
        <f t="shared" si="2"/>
        <v>2769129.9357305709</v>
      </c>
      <c r="M12" s="25">
        <f t="shared" si="2"/>
        <v>3600401.1304838178</v>
      </c>
      <c r="N12" s="25">
        <f t="shared" si="2"/>
        <v>4605959.3424547259</v>
      </c>
    </row>
    <row r="13" spans="1:14" x14ac:dyDescent="0.3">
      <c r="A13" s="29"/>
      <c r="B13" s="29" t="s">
        <v>94</v>
      </c>
      <c r="C13" s="29"/>
      <c r="D13" s="29"/>
      <c r="E13" s="29"/>
      <c r="F13" s="29"/>
      <c r="G13" s="29"/>
      <c r="H13" s="29"/>
      <c r="I13" s="38">
        <f>Workings!I124</f>
        <v>1250000</v>
      </c>
      <c r="J13" s="38">
        <f>Workings!J124</f>
        <v>1250000</v>
      </c>
      <c r="K13" s="38">
        <f>Workings!K124</f>
        <v>1250000</v>
      </c>
      <c r="L13" s="38">
        <f>Workings!L124</f>
        <v>1250000</v>
      </c>
      <c r="M13" s="38">
        <f>Workings!M124</f>
        <v>1250000</v>
      </c>
      <c r="N13" s="38">
        <f>Workings!N124</f>
        <v>450000</v>
      </c>
    </row>
    <row r="14" spans="1:14" x14ac:dyDescent="0.3">
      <c r="A14" s="21"/>
      <c r="B14" s="21" t="s">
        <v>95</v>
      </c>
      <c r="C14" s="21"/>
      <c r="D14" s="21"/>
      <c r="E14" s="21"/>
      <c r="F14" s="21"/>
      <c r="G14" s="21"/>
      <c r="H14" s="21"/>
      <c r="I14" s="25">
        <f>I12-I13</f>
        <v>-196400</v>
      </c>
      <c r="J14" s="25">
        <f t="shared" ref="J14:N14" si="3">J12-J13</f>
        <v>268036.6400000006</v>
      </c>
      <c r="K14" s="25">
        <f t="shared" si="3"/>
        <v>833106.76465799962</v>
      </c>
      <c r="L14" s="25">
        <f t="shared" si="3"/>
        <v>1519129.9357305709</v>
      </c>
      <c r="M14" s="25">
        <f t="shared" si="3"/>
        <v>2350401.1304838178</v>
      </c>
      <c r="N14" s="25">
        <f t="shared" si="3"/>
        <v>4155959.3424547259</v>
      </c>
    </row>
    <row r="15" spans="1:14" x14ac:dyDescent="0.3">
      <c r="A15" s="29"/>
      <c r="B15" s="29" t="s">
        <v>96</v>
      </c>
      <c r="C15" s="29"/>
      <c r="D15" s="29"/>
      <c r="E15" s="29"/>
      <c r="F15" s="29"/>
      <c r="G15" s="29"/>
      <c r="H15" s="29"/>
      <c r="I15" s="38">
        <f>Workings!I137</f>
        <v>900000.00000000012</v>
      </c>
      <c r="J15" s="38">
        <f>Workings!J137</f>
        <v>797186.78408935503</v>
      </c>
      <c r="K15" s="38">
        <f>Workings!K137</f>
        <v>678951.58579211321</v>
      </c>
      <c r="L15" s="38">
        <f>Workings!L137</f>
        <v>542981.10775028507</v>
      </c>
      <c r="M15" s="38">
        <f>Workings!M137</f>
        <v>386615.05800218286</v>
      </c>
      <c r="N15" s="38">
        <f>Workings!N137</f>
        <v>206794.10079186523</v>
      </c>
    </row>
    <row r="16" spans="1:14" x14ac:dyDescent="0.3">
      <c r="A16" s="21"/>
      <c r="B16" s="21" t="s">
        <v>97</v>
      </c>
      <c r="C16" s="21"/>
      <c r="D16" s="21"/>
      <c r="E16" s="21"/>
      <c r="F16" s="21"/>
      <c r="G16" s="21"/>
      <c r="H16" s="21"/>
      <c r="I16" s="25">
        <f>I14-I15</f>
        <v>-1096400</v>
      </c>
      <c r="J16" s="25">
        <f t="shared" ref="J16:N16" si="4">J14-J15</f>
        <v>-529150.14408935443</v>
      </c>
      <c r="K16" s="25">
        <f t="shared" si="4"/>
        <v>154155.17886588641</v>
      </c>
      <c r="L16" s="25">
        <f t="shared" si="4"/>
        <v>976148.82798028586</v>
      </c>
      <c r="M16" s="25">
        <f t="shared" si="4"/>
        <v>1963786.072481635</v>
      </c>
      <c r="N16" s="25">
        <f t="shared" si="4"/>
        <v>3949165.2416628608</v>
      </c>
    </row>
    <row r="17" spans="1:14" x14ac:dyDescent="0.3">
      <c r="B17" t="s">
        <v>98</v>
      </c>
      <c r="I17" s="7">
        <f>IF(I16&gt;0,Input!$D$12*'Income Statement'!I16,0)</f>
        <v>0</v>
      </c>
      <c r="J17" s="7">
        <f>IF(J16&gt;0,Input!$D$12*'Income Statement'!J16,0)</f>
        <v>0</v>
      </c>
      <c r="K17" s="7">
        <f>IF(K16&gt;0,Input!$D$12*'Income Statement'!K16,0)</f>
        <v>46246.553659765923</v>
      </c>
      <c r="L17" s="7">
        <f>IF(L16&gt;0,Input!$D$12*'Income Statement'!L16,0)</f>
        <v>292844.64839408576</v>
      </c>
      <c r="M17" s="7">
        <f>IF(M16&gt;0,Input!$D$12*'Income Statement'!M16,0)</f>
        <v>589135.82174449053</v>
      </c>
      <c r="N17" s="7">
        <f>IF(N16&gt;0,Input!$D$12*'Income Statement'!N16,0)</f>
        <v>1184749.5724988582</v>
      </c>
    </row>
    <row r="18" spans="1:14" ht="16.2" thickBot="1" x14ac:dyDescent="0.35">
      <c r="A18" s="12"/>
      <c r="B18" s="12" t="s">
        <v>99</v>
      </c>
      <c r="C18" s="12"/>
      <c r="D18" s="12"/>
      <c r="E18" s="12"/>
      <c r="F18" s="12"/>
      <c r="G18" s="12"/>
      <c r="H18" s="12"/>
      <c r="I18" s="13">
        <f>I16-I17</f>
        <v>-1096400</v>
      </c>
      <c r="J18" s="13">
        <f t="shared" ref="J18:N18" si="5">J16-J17</f>
        <v>-529150.14408935443</v>
      </c>
      <c r="K18" s="13">
        <f t="shared" si="5"/>
        <v>107908.62520612049</v>
      </c>
      <c r="L18" s="13">
        <f t="shared" si="5"/>
        <v>683304.17958620004</v>
      </c>
      <c r="M18" s="13">
        <f t="shared" si="5"/>
        <v>1374650.2507371446</v>
      </c>
      <c r="N18" s="13">
        <f t="shared" si="5"/>
        <v>2764415.6691640029</v>
      </c>
    </row>
    <row r="19" spans="1:14" ht="16.2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1CCF-A153-4F92-A75A-D925A10D0134}">
  <dimension ref="A1:P37"/>
  <sheetViews>
    <sheetView showGridLines="0" topLeftCell="B11" zoomScale="85" zoomScaleNormal="85" workbookViewId="0">
      <selection activeCell="I9" sqref="I9:N33"/>
    </sheetView>
  </sheetViews>
  <sheetFormatPr defaultRowHeight="15.6" x14ac:dyDescent="0.3"/>
  <cols>
    <col min="1" max="1" width="24.296875" bestFit="1" customWidth="1"/>
    <col min="2" max="2" width="37.59765625" bestFit="1" customWidth="1"/>
    <col min="3" max="3" width="32.69921875" bestFit="1" customWidth="1"/>
    <col min="8" max="8" width="3.09765625" bestFit="1" customWidth="1"/>
    <col min="9" max="9" width="15.69921875" bestFit="1" customWidth="1"/>
    <col min="10" max="14" width="15.3984375" bestFit="1" customWidth="1"/>
    <col min="15" max="15" width="11.296875" bestFit="1" customWidth="1"/>
  </cols>
  <sheetData>
    <row r="1" spans="1:15" s="1" customFormat="1" x14ac:dyDescent="0.3">
      <c r="A1" s="37" t="s">
        <v>0</v>
      </c>
    </row>
    <row r="2" spans="1:15" s="1" customFormat="1" x14ac:dyDescent="0.3">
      <c r="A2" s="1" t="s">
        <v>1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5" s="1" customFormat="1" x14ac:dyDescent="0.3">
      <c r="A3" s="1" t="s">
        <v>2</v>
      </c>
      <c r="I3" s="4">
        <f>Input!I3</f>
        <v>46753</v>
      </c>
      <c r="J3" s="4">
        <f>Input!J3</f>
        <v>47119</v>
      </c>
      <c r="K3" s="4">
        <f>Input!K3</f>
        <v>47484</v>
      </c>
      <c r="L3" s="4">
        <f>Input!L3</f>
        <v>47849</v>
      </c>
      <c r="M3" s="4">
        <f>Input!M3</f>
        <v>48214</v>
      </c>
      <c r="N3" s="4">
        <f>Input!N3</f>
        <v>48580</v>
      </c>
    </row>
    <row r="4" spans="1:15" s="1" customFormat="1" x14ac:dyDescent="0.3">
      <c r="A4" s="1" t="s">
        <v>3</v>
      </c>
      <c r="I4" s="4">
        <f>Input!I4</f>
        <v>47118</v>
      </c>
      <c r="J4" s="4">
        <f>Input!J4</f>
        <v>47483</v>
      </c>
      <c r="K4" s="4">
        <f>Input!K4</f>
        <v>47848</v>
      </c>
      <c r="L4" s="4">
        <f>Input!L4</f>
        <v>48213</v>
      </c>
      <c r="M4" s="4">
        <f>Input!M4</f>
        <v>48579</v>
      </c>
      <c r="N4" s="4">
        <f>Input!N4</f>
        <v>48944</v>
      </c>
    </row>
    <row r="5" spans="1:15" s="1" customFormat="1" x14ac:dyDescent="0.3">
      <c r="A5" s="1" t="s">
        <v>4</v>
      </c>
      <c r="I5" s="1">
        <f>I4-I3</f>
        <v>365</v>
      </c>
      <c r="J5" s="1">
        <f t="shared" ref="J5:N5" si="0">J4-J3</f>
        <v>364</v>
      </c>
      <c r="K5" s="1">
        <f t="shared" si="0"/>
        <v>364</v>
      </c>
      <c r="L5" s="1">
        <f t="shared" si="0"/>
        <v>364</v>
      </c>
      <c r="M5" s="1">
        <f t="shared" si="0"/>
        <v>365</v>
      </c>
      <c r="N5" s="1">
        <f t="shared" si="0"/>
        <v>364</v>
      </c>
    </row>
    <row r="7" spans="1:15" s="1" customFormat="1" x14ac:dyDescent="0.3">
      <c r="A7" s="1" t="s">
        <v>100</v>
      </c>
    </row>
    <row r="8" spans="1:15" x14ac:dyDescent="0.3">
      <c r="B8" s="20" t="s">
        <v>101</v>
      </c>
      <c r="I8" s="6"/>
      <c r="J8" s="6"/>
      <c r="K8" s="6"/>
      <c r="L8" s="6"/>
      <c r="M8" s="6"/>
      <c r="N8" s="6"/>
    </row>
    <row r="9" spans="1:15" x14ac:dyDescent="0.3">
      <c r="C9" t="s">
        <v>93</v>
      </c>
      <c r="H9" s="17"/>
      <c r="I9" s="14">
        <f>'Income Statement'!I12</f>
        <v>1053600</v>
      </c>
      <c r="J9" s="14">
        <f>'Income Statement'!J12</f>
        <v>1518036.6400000006</v>
      </c>
      <c r="K9" s="14">
        <f>'Income Statement'!K12</f>
        <v>2083106.7646579996</v>
      </c>
      <c r="L9" s="14">
        <f>'Income Statement'!L12</f>
        <v>2769129.9357305709</v>
      </c>
      <c r="M9" s="14">
        <f>'Income Statement'!M12</f>
        <v>3600401.1304838178</v>
      </c>
      <c r="N9" s="14">
        <f>'Income Statement'!N12</f>
        <v>4605959.3424547259</v>
      </c>
    </row>
    <row r="10" spans="1:15" x14ac:dyDescent="0.3">
      <c r="C10" t="s">
        <v>102</v>
      </c>
      <c r="H10" s="17"/>
      <c r="I10" s="14"/>
      <c r="J10" s="14"/>
      <c r="K10" s="14"/>
      <c r="L10" s="14"/>
      <c r="M10" s="14"/>
      <c r="N10" s="14"/>
    </row>
    <row r="11" spans="1:15" x14ac:dyDescent="0.3">
      <c r="C11" t="s">
        <v>103</v>
      </c>
      <c r="H11" s="17"/>
      <c r="I11" s="14">
        <f>SOFP!H16-SOFP!I16</f>
        <v>-213369.86301369863</v>
      </c>
      <c r="J11" s="14">
        <f>SOFP!I16-SOFP!J16</f>
        <v>-35733.411711576133</v>
      </c>
      <c r="K11" s="14">
        <f>SOFP!J16-SOFP!K16</f>
        <v>-41043.288638461498</v>
      </c>
      <c r="L11" s="14">
        <f>SOFP!K16-SOFP!L16</f>
        <v>-47948.306564604572</v>
      </c>
      <c r="M11" s="14">
        <f>SOFP!L16-SOFP!M16</f>
        <v>-54958.557893470046</v>
      </c>
      <c r="N11" s="14">
        <f>SOFP!M16-SOFP!N16</f>
        <v>-66600.756543510011</v>
      </c>
      <c r="O11" s="19"/>
    </row>
    <row r="12" spans="1:15" x14ac:dyDescent="0.3">
      <c r="C12" t="s">
        <v>104</v>
      </c>
      <c r="H12" s="17"/>
      <c r="I12" s="14">
        <f>SOFP!I28-SOFP!H28</f>
        <v>128021.91780821916</v>
      </c>
      <c r="J12" s="14">
        <f>SOFP!J28-SOFP!I28</f>
        <v>21440.0470269457</v>
      </c>
      <c r="K12" s="14">
        <f>SOFP!K28-SOFP!J28</f>
        <v>24625.973183076916</v>
      </c>
      <c r="L12" s="14">
        <f>SOFP!L28-SOFP!K28</f>
        <v>28768.983938762743</v>
      </c>
      <c r="M12" s="14">
        <f>SOFP!M28-SOFP!L28</f>
        <v>32975.134736082022</v>
      </c>
      <c r="N12" s="14">
        <f>SOFP!N28-SOFP!M28</f>
        <v>39960.453926106013</v>
      </c>
    </row>
    <row r="13" spans="1:15" x14ac:dyDescent="0.3">
      <c r="A13" s="29"/>
      <c r="B13" s="29"/>
      <c r="C13" s="29" t="s">
        <v>105</v>
      </c>
      <c r="D13" s="29"/>
      <c r="E13" s="29"/>
      <c r="F13" s="29"/>
      <c r="G13" s="29"/>
      <c r="H13" s="32"/>
      <c r="I13" s="43">
        <f>SOFP!H17-SOFP!I17</f>
        <v>-76643.835616438359</v>
      </c>
      <c r="J13" s="43">
        <f>SOFP!I17-SOFP!J17</f>
        <v>-10525.870427517686</v>
      </c>
      <c r="K13" s="43">
        <f>SOFP!J17-SOFP!K17</f>
        <v>-11733.609841483529</v>
      </c>
      <c r="L13" s="43">
        <f>SOFP!K17-SOFP!L17</f>
        <v>-13352.050411146352</v>
      </c>
      <c r="M13" s="43">
        <f>SOFP!L17-SOFP!M17</f>
        <v>-14850.475884749365</v>
      </c>
      <c r="N13" s="43">
        <f>SOFP!M17-SOFP!N17</f>
        <v>-17659.025303528324</v>
      </c>
    </row>
    <row r="14" spans="1:15" x14ac:dyDescent="0.3">
      <c r="B14" t="s">
        <v>106</v>
      </c>
      <c r="H14" s="17"/>
      <c r="I14" s="14">
        <f>SUM(I11:I13)</f>
        <v>-161991.78082191781</v>
      </c>
      <c r="J14" s="14">
        <f t="shared" ref="J14:N14" si="1">SUM(J11:J13)</f>
        <v>-24819.235112148119</v>
      </c>
      <c r="K14" s="14">
        <f t="shared" si="1"/>
        <v>-28150.92529686811</v>
      </c>
      <c r="L14" s="14">
        <f t="shared" si="1"/>
        <v>-32531.373036988181</v>
      </c>
      <c r="M14" s="14">
        <f t="shared" si="1"/>
        <v>-36833.899042137389</v>
      </c>
      <c r="N14" s="14">
        <f t="shared" si="1"/>
        <v>-44299.327920932323</v>
      </c>
    </row>
    <row r="15" spans="1:15" x14ac:dyDescent="0.3">
      <c r="A15" s="29"/>
      <c r="B15" s="29" t="s">
        <v>107</v>
      </c>
      <c r="C15" s="29"/>
      <c r="D15" s="29"/>
      <c r="E15" s="29"/>
      <c r="F15" s="29"/>
      <c r="G15" s="29"/>
      <c r="H15" s="32"/>
      <c r="I15" s="43">
        <f>-'Income Statement'!H17</f>
        <v>0</v>
      </c>
      <c r="J15" s="43">
        <f>-'Income Statement'!I17</f>
        <v>0</v>
      </c>
      <c r="K15" s="43">
        <f>-'Income Statement'!J17</f>
        <v>0</v>
      </c>
      <c r="L15" s="43">
        <f>-'Income Statement'!K17</f>
        <v>-46246.553659765923</v>
      </c>
      <c r="M15" s="43">
        <f>-'Income Statement'!L17</f>
        <v>-292844.64839408576</v>
      </c>
      <c r="N15" s="43">
        <f>-'Income Statement'!M17</f>
        <v>-589135.82174449053</v>
      </c>
    </row>
    <row r="16" spans="1:15" x14ac:dyDescent="0.3">
      <c r="B16" s="21" t="s">
        <v>108</v>
      </c>
      <c r="C16" s="21"/>
      <c r="D16" s="21"/>
      <c r="E16" s="21"/>
      <c r="F16" s="21"/>
      <c r="G16" s="21"/>
      <c r="H16" s="33"/>
      <c r="I16" s="44">
        <f>SUM(I14:I15)+I9</f>
        <v>891608.21917808219</v>
      </c>
      <c r="J16" s="44">
        <f t="shared" ref="J16:N16" si="2">SUM(J14:J15)+J9</f>
        <v>1493217.4048878525</v>
      </c>
      <c r="K16" s="44">
        <f t="shared" si="2"/>
        <v>2054955.8393611314</v>
      </c>
      <c r="L16" s="44">
        <f t="shared" si="2"/>
        <v>2690352.0090338169</v>
      </c>
      <c r="M16" s="44">
        <f t="shared" si="2"/>
        <v>3270722.5830475949</v>
      </c>
      <c r="N16" s="44">
        <f t="shared" si="2"/>
        <v>3972524.1927893031</v>
      </c>
    </row>
    <row r="17" spans="1:15" x14ac:dyDescent="0.3">
      <c r="H17" s="17"/>
      <c r="I17" s="14"/>
      <c r="J17" s="14"/>
      <c r="K17" s="14"/>
      <c r="L17" s="14"/>
      <c r="M17" s="14"/>
      <c r="N17" s="14"/>
    </row>
    <row r="18" spans="1:15" x14ac:dyDescent="0.3">
      <c r="B18" s="21" t="s">
        <v>109</v>
      </c>
      <c r="H18" s="17"/>
      <c r="I18" s="14"/>
      <c r="J18" s="14"/>
      <c r="K18" s="14"/>
      <c r="L18" s="14"/>
      <c r="M18" s="14"/>
      <c r="N18" s="14"/>
    </row>
    <row r="19" spans="1:15" x14ac:dyDescent="0.3">
      <c r="A19" s="29"/>
      <c r="B19" s="29"/>
      <c r="C19" s="29" t="s">
        <v>110</v>
      </c>
      <c r="D19" s="29"/>
      <c r="E19" s="29"/>
      <c r="F19" s="29"/>
      <c r="G19" s="29"/>
      <c r="H19" s="32"/>
      <c r="I19" s="43">
        <f>-Workings!I117</f>
        <v>-8500000</v>
      </c>
      <c r="J19" s="43">
        <f>-Workings!J117</f>
        <v>0</v>
      </c>
      <c r="K19" s="43">
        <f>-Workings!K117</f>
        <v>0</v>
      </c>
      <c r="L19" s="43">
        <f>-Workings!L117</f>
        <v>0</v>
      </c>
      <c r="M19" s="43">
        <f>-Workings!M117</f>
        <v>0</v>
      </c>
      <c r="N19" s="43">
        <f>-Workings!N117</f>
        <v>0</v>
      </c>
    </row>
    <row r="20" spans="1:15" x14ac:dyDescent="0.3">
      <c r="H20" s="17"/>
      <c r="I20" s="14"/>
      <c r="J20" s="14"/>
      <c r="K20" s="14"/>
      <c r="L20" s="14"/>
      <c r="M20" s="14"/>
      <c r="N20" s="14"/>
    </row>
    <row r="21" spans="1:15" x14ac:dyDescent="0.3">
      <c r="B21" s="21" t="s">
        <v>111</v>
      </c>
      <c r="C21" s="21"/>
      <c r="D21" s="21"/>
      <c r="E21" s="21"/>
      <c r="F21" s="21"/>
      <c r="G21" s="21"/>
      <c r="H21" s="33" t="s">
        <v>117</v>
      </c>
      <c r="I21" s="44">
        <f>I19</f>
        <v>-8500000</v>
      </c>
      <c r="J21" s="44">
        <f t="shared" ref="J21:N21" si="3">J19</f>
        <v>0</v>
      </c>
      <c r="K21" s="44">
        <f t="shared" si="3"/>
        <v>0</v>
      </c>
      <c r="L21" s="44">
        <f t="shared" si="3"/>
        <v>0</v>
      </c>
      <c r="M21" s="44">
        <f t="shared" si="3"/>
        <v>0</v>
      </c>
      <c r="N21" s="44">
        <f t="shared" si="3"/>
        <v>0</v>
      </c>
      <c r="O21" s="33"/>
    </row>
    <row r="22" spans="1:15" x14ac:dyDescent="0.3">
      <c r="H22" s="17"/>
      <c r="I22" s="14"/>
      <c r="J22" s="14"/>
      <c r="K22" s="14"/>
      <c r="L22" s="14"/>
      <c r="M22" s="14"/>
      <c r="N22" s="14"/>
    </row>
    <row r="23" spans="1:15" x14ac:dyDescent="0.3">
      <c r="H23" s="17"/>
      <c r="I23" s="14"/>
      <c r="J23" s="14"/>
      <c r="K23" s="14"/>
      <c r="L23" s="14"/>
      <c r="M23" s="14"/>
      <c r="N23" s="14"/>
    </row>
    <row r="24" spans="1:15" x14ac:dyDescent="0.3">
      <c r="B24" s="21" t="s">
        <v>112</v>
      </c>
      <c r="H24" s="17"/>
      <c r="I24" s="14"/>
      <c r="J24" s="14"/>
      <c r="K24" s="14"/>
      <c r="L24" s="14"/>
      <c r="M24" s="14"/>
      <c r="N24" s="14"/>
    </row>
    <row r="25" spans="1:15" x14ac:dyDescent="0.3">
      <c r="C25" t="s">
        <v>113</v>
      </c>
      <c r="H25" s="17"/>
      <c r="I25" s="14">
        <f>Workings!I136</f>
        <v>6000000</v>
      </c>
      <c r="J25" s="14">
        <f>Workings!J136</f>
        <v>0</v>
      </c>
      <c r="K25" s="14">
        <f>Workings!K136</f>
        <v>0</v>
      </c>
      <c r="L25" s="14">
        <f>Workings!L136</f>
        <v>0</v>
      </c>
      <c r="M25" s="14">
        <f>Workings!M136</f>
        <v>0</v>
      </c>
      <c r="N25" s="14">
        <f>Workings!N136</f>
        <v>0</v>
      </c>
    </row>
    <row r="26" spans="1:15" x14ac:dyDescent="0.3">
      <c r="C26" t="s">
        <v>114</v>
      </c>
      <c r="H26" s="17"/>
      <c r="I26" s="14">
        <f>-Workings!I138</f>
        <v>-1585421.4394043004</v>
      </c>
      <c r="J26" s="14">
        <f>-Workings!J138</f>
        <v>-1585421.4394043004</v>
      </c>
      <c r="K26" s="14">
        <f>-Workings!K138</f>
        <v>-1585421.4394043004</v>
      </c>
      <c r="L26" s="14">
        <f>-Workings!L138</f>
        <v>-1585421.4394043004</v>
      </c>
      <c r="M26" s="14">
        <f>-Workings!M138</f>
        <v>-1585421.4394043004</v>
      </c>
      <c r="N26" s="14">
        <f>-Workings!N138</f>
        <v>-1585421.4394043004</v>
      </c>
    </row>
    <row r="27" spans="1:15" x14ac:dyDescent="0.3">
      <c r="C27" t="s">
        <v>115</v>
      </c>
      <c r="H27" s="17"/>
      <c r="I27" s="14">
        <f>Workings!I144</f>
        <v>9000000</v>
      </c>
      <c r="J27" s="14">
        <f>Workings!J144</f>
        <v>0</v>
      </c>
      <c r="K27" s="14">
        <f>Workings!K144</f>
        <v>0</v>
      </c>
      <c r="L27" s="14">
        <f>Workings!L144</f>
        <v>0</v>
      </c>
      <c r="M27" s="14">
        <f>Workings!M144</f>
        <v>0</v>
      </c>
      <c r="N27" s="14">
        <f>Workings!N144</f>
        <v>0</v>
      </c>
    </row>
    <row r="28" spans="1:15" x14ac:dyDescent="0.3">
      <c r="B28" s="29"/>
      <c r="C28" s="29" t="s">
        <v>116</v>
      </c>
      <c r="D28" s="29"/>
      <c r="E28" s="29"/>
      <c r="F28" s="29"/>
      <c r="G28" s="29"/>
      <c r="H28" s="32"/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</row>
    <row r="29" spans="1:15" x14ac:dyDescent="0.3">
      <c r="B29" s="21" t="s">
        <v>118</v>
      </c>
      <c r="C29" s="21"/>
      <c r="D29" s="21"/>
      <c r="E29" s="21"/>
      <c r="F29" s="21"/>
      <c r="G29" s="21"/>
      <c r="H29" s="33"/>
      <c r="I29" s="44">
        <f>SUM(I25:I28)</f>
        <v>13414578.560595699</v>
      </c>
      <c r="J29" s="44">
        <f t="shared" ref="J29:N29" si="4">SUM(J25:J28)</f>
        <v>-1585421.4394043004</v>
      </c>
      <c r="K29" s="44">
        <f t="shared" si="4"/>
        <v>-1585421.4394043004</v>
      </c>
      <c r="L29" s="44">
        <f t="shared" si="4"/>
        <v>-1585421.4394043004</v>
      </c>
      <c r="M29" s="44">
        <f t="shared" si="4"/>
        <v>-1585421.4394043004</v>
      </c>
      <c r="N29" s="44">
        <f t="shared" si="4"/>
        <v>-1585421.4394043004</v>
      </c>
    </row>
    <row r="30" spans="1:15" x14ac:dyDescent="0.3">
      <c r="H30" s="17"/>
      <c r="I30" s="14"/>
      <c r="J30" s="14"/>
      <c r="K30" s="14"/>
      <c r="L30" s="14"/>
      <c r="M30" s="14"/>
      <c r="N30" s="14"/>
    </row>
    <row r="31" spans="1:15" x14ac:dyDescent="0.3">
      <c r="B31" t="s">
        <v>119</v>
      </c>
      <c r="H31" s="17"/>
      <c r="I31" s="14">
        <f>I29+I21+I16</f>
        <v>5806186.7797737811</v>
      </c>
      <c r="J31" s="14">
        <f t="shared" ref="J31:N31" si="5">J29+J21+J16</f>
        <v>-92204.034516447922</v>
      </c>
      <c r="K31" s="14">
        <f t="shared" si="5"/>
        <v>469534.39995683101</v>
      </c>
      <c r="L31" s="14">
        <f t="shared" si="5"/>
        <v>1104930.5696295165</v>
      </c>
      <c r="M31" s="14">
        <f t="shared" si="5"/>
        <v>1685301.1436432945</v>
      </c>
      <c r="N31" s="14">
        <f t="shared" si="5"/>
        <v>2387102.7533850027</v>
      </c>
    </row>
    <row r="32" spans="1:15" x14ac:dyDescent="0.3">
      <c r="B32" t="s">
        <v>124</v>
      </c>
      <c r="H32" s="17"/>
      <c r="I32" s="14">
        <f>H33</f>
        <v>0</v>
      </c>
      <c r="J32" s="14">
        <f t="shared" ref="J32:N32" si="6">I33</f>
        <v>5806186.7797737811</v>
      </c>
      <c r="K32" s="14">
        <f t="shared" si="6"/>
        <v>5713982.7452573329</v>
      </c>
      <c r="L32" s="14">
        <f t="shared" si="6"/>
        <v>6183517.1452141637</v>
      </c>
      <c r="M32" s="14">
        <f t="shared" si="6"/>
        <v>7288447.7148436802</v>
      </c>
      <c r="N32" s="14">
        <f t="shared" si="6"/>
        <v>8973748.8584869746</v>
      </c>
    </row>
    <row r="33" spans="2:16" ht="16.2" thickBot="1" x14ac:dyDescent="0.35">
      <c r="B33" s="12" t="s">
        <v>73</v>
      </c>
      <c r="C33" s="12"/>
      <c r="D33" s="12"/>
      <c r="E33" s="12"/>
      <c r="F33" s="12"/>
      <c r="G33" s="12"/>
      <c r="H33" s="34"/>
      <c r="I33" s="15">
        <f>SUM(I31:I32)</f>
        <v>5806186.7797737811</v>
      </c>
      <c r="J33" s="15">
        <f t="shared" ref="J33:N33" si="7">SUM(J31:J32)</f>
        <v>5713982.7452573329</v>
      </c>
      <c r="K33" s="15">
        <f t="shared" si="7"/>
        <v>6183517.1452141637</v>
      </c>
      <c r="L33" s="15">
        <f t="shared" si="7"/>
        <v>7288447.7148436802</v>
      </c>
      <c r="M33" s="15">
        <f t="shared" si="7"/>
        <v>8973748.8584869746</v>
      </c>
      <c r="N33" s="15">
        <f t="shared" si="7"/>
        <v>11360851.611871976</v>
      </c>
      <c r="O33" s="16"/>
      <c r="P33" s="16"/>
    </row>
    <row r="34" spans="2:16" ht="16.2" thickTop="1" x14ac:dyDescent="0.3"/>
    <row r="37" spans="2:16" x14ac:dyDescent="0.3">
      <c r="D3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CFBE-E255-45FE-AB4B-02478B2F25E6}">
  <dimension ref="A1:X39"/>
  <sheetViews>
    <sheetView showGridLines="0" tabSelected="1" topLeftCell="B9" zoomScale="61" zoomScaleNormal="59" workbookViewId="0">
      <selection activeCell="R15" sqref="R15"/>
    </sheetView>
  </sheetViews>
  <sheetFormatPr defaultRowHeight="15.6" x14ac:dyDescent="0.3"/>
  <cols>
    <col min="1" max="1" width="21.796875" bestFit="1" customWidth="1"/>
    <col min="2" max="2" width="22.3984375" bestFit="1" customWidth="1"/>
    <col min="8" max="8" width="1.8984375" bestFit="1" customWidth="1"/>
    <col min="9" max="11" width="15.5" bestFit="1" customWidth="1"/>
    <col min="12" max="12" width="16.09765625" bestFit="1" customWidth="1"/>
    <col min="13" max="14" width="15.5" bestFit="1" customWidth="1"/>
    <col min="18" max="23" width="15.296875" bestFit="1" customWidth="1"/>
  </cols>
  <sheetData>
    <row r="1" spans="1:14" s="1" customFormat="1" x14ac:dyDescent="0.3">
      <c r="A1" s="37" t="s">
        <v>0</v>
      </c>
    </row>
    <row r="2" spans="1:14" s="1" customFormat="1" x14ac:dyDescent="0.3">
      <c r="A2" s="1" t="s">
        <v>1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4" s="1" customFormat="1" x14ac:dyDescent="0.3">
      <c r="A3" s="1" t="s">
        <v>2</v>
      </c>
      <c r="I3" s="4">
        <f>Input!I3</f>
        <v>46753</v>
      </c>
      <c r="J3" s="4">
        <f>Input!J3</f>
        <v>47119</v>
      </c>
      <c r="K3" s="4">
        <f>Input!K3</f>
        <v>47484</v>
      </c>
      <c r="L3" s="4">
        <f>Input!L3</f>
        <v>47849</v>
      </c>
      <c r="M3" s="4">
        <f>Input!M3</f>
        <v>48214</v>
      </c>
      <c r="N3" s="4">
        <f>Input!N3</f>
        <v>48580</v>
      </c>
    </row>
    <row r="4" spans="1:14" s="1" customFormat="1" x14ac:dyDescent="0.3">
      <c r="A4" s="1" t="s">
        <v>3</v>
      </c>
      <c r="I4" s="4">
        <f>Input!I4</f>
        <v>47118</v>
      </c>
      <c r="J4" s="4">
        <f>Input!J4</f>
        <v>47483</v>
      </c>
      <c r="K4" s="4">
        <f>Input!K4</f>
        <v>47848</v>
      </c>
      <c r="L4" s="4">
        <f>Input!L4</f>
        <v>48213</v>
      </c>
      <c r="M4" s="4">
        <f>Input!M4</f>
        <v>48579</v>
      </c>
      <c r="N4" s="4">
        <f>Input!N4</f>
        <v>48944</v>
      </c>
    </row>
    <row r="5" spans="1:14" s="1" customFormat="1" x14ac:dyDescent="0.3">
      <c r="A5" s="1" t="s">
        <v>4</v>
      </c>
      <c r="I5" s="1">
        <f>I4-I3</f>
        <v>365</v>
      </c>
      <c r="J5" s="1">
        <f t="shared" ref="J5:N5" si="0">J4-J3</f>
        <v>364</v>
      </c>
      <c r="K5" s="1">
        <f t="shared" si="0"/>
        <v>364</v>
      </c>
      <c r="L5" s="1">
        <f t="shared" si="0"/>
        <v>364</v>
      </c>
      <c r="M5" s="1">
        <f t="shared" si="0"/>
        <v>365</v>
      </c>
      <c r="N5" s="1">
        <f t="shared" si="0"/>
        <v>364</v>
      </c>
    </row>
    <row r="7" spans="1:14" s="1" customFormat="1" x14ac:dyDescent="0.3">
      <c r="A7" s="30" t="s">
        <v>120</v>
      </c>
    </row>
    <row r="8" spans="1:14" x14ac:dyDescent="0.3">
      <c r="B8" s="20" t="s">
        <v>121</v>
      </c>
      <c r="I8" s="6"/>
      <c r="J8" s="6"/>
      <c r="K8" s="6"/>
      <c r="L8" s="6"/>
      <c r="M8" s="6"/>
      <c r="N8" s="6"/>
    </row>
    <row r="9" spans="1:14" x14ac:dyDescent="0.3">
      <c r="B9" t="s">
        <v>41</v>
      </c>
      <c r="I9" s="7">
        <f>Workings!I88</f>
        <v>1600000</v>
      </c>
      <c r="J9" s="7">
        <f>Workings!J88</f>
        <v>1200000</v>
      </c>
      <c r="K9" s="7">
        <f>Workings!K88</f>
        <v>800000</v>
      </c>
      <c r="L9" s="7">
        <f>Workings!L88</f>
        <v>400000</v>
      </c>
      <c r="M9" s="7">
        <f>Workings!M88</f>
        <v>0</v>
      </c>
      <c r="N9" s="7">
        <f>Workings!N88</f>
        <v>0</v>
      </c>
    </row>
    <row r="10" spans="1:14" x14ac:dyDescent="0.3">
      <c r="B10" t="s">
        <v>42</v>
      </c>
      <c r="I10" s="7">
        <f>Workings!I95</f>
        <v>3150000</v>
      </c>
      <c r="J10" s="7">
        <f>Workings!J95</f>
        <v>2800000</v>
      </c>
      <c r="K10" s="7">
        <f>Workings!K95</f>
        <v>2450000</v>
      </c>
      <c r="L10" s="7">
        <f>Workings!L95</f>
        <v>2100000</v>
      </c>
      <c r="M10" s="7">
        <f>Workings!M95</f>
        <v>1750000</v>
      </c>
      <c r="N10" s="7">
        <f>Workings!N95</f>
        <v>1400000</v>
      </c>
    </row>
    <row r="11" spans="1:14" x14ac:dyDescent="0.3">
      <c r="B11" t="s">
        <v>43</v>
      </c>
      <c r="I11" s="7">
        <f>Workings!I103</f>
        <v>1600000</v>
      </c>
      <c r="J11" s="7">
        <f>Workings!J103</f>
        <v>1200000</v>
      </c>
      <c r="K11" s="7">
        <f>Workings!K103</f>
        <v>800000</v>
      </c>
      <c r="L11" s="7">
        <f>Workings!L103</f>
        <v>400000</v>
      </c>
      <c r="M11" s="7">
        <f>Workings!M103</f>
        <v>0</v>
      </c>
      <c r="N11" s="7">
        <f>Workings!N103</f>
        <v>0</v>
      </c>
    </row>
    <row r="12" spans="1:14" x14ac:dyDescent="0.3">
      <c r="A12" s="29"/>
      <c r="B12" s="29" t="s">
        <v>44</v>
      </c>
      <c r="C12" s="29"/>
      <c r="D12" s="29"/>
      <c r="E12" s="29"/>
      <c r="F12" s="29"/>
      <c r="G12" s="29"/>
      <c r="H12" s="29"/>
      <c r="I12" s="38">
        <f>Workings!I110</f>
        <v>900000</v>
      </c>
      <c r="J12" s="38">
        <f>Workings!J110</f>
        <v>800000</v>
      </c>
      <c r="K12" s="38">
        <f>Workings!K110</f>
        <v>700000</v>
      </c>
      <c r="L12" s="38">
        <f>Workings!L110</f>
        <v>600000</v>
      </c>
      <c r="M12" s="38">
        <f>Workings!M110</f>
        <v>500000</v>
      </c>
      <c r="N12" s="38">
        <f>Workings!N110</f>
        <v>400000</v>
      </c>
    </row>
    <row r="13" spans="1:14" x14ac:dyDescent="0.3">
      <c r="B13" s="21" t="s">
        <v>122</v>
      </c>
      <c r="I13" s="7">
        <f>SUM(I9:I12)</f>
        <v>7250000</v>
      </c>
      <c r="J13" s="7">
        <f t="shared" ref="J13:N13" si="1">SUM(J9:J12)</f>
        <v>6000000</v>
      </c>
      <c r="K13" s="7">
        <f t="shared" si="1"/>
        <v>4750000</v>
      </c>
      <c r="L13" s="7">
        <f t="shared" si="1"/>
        <v>3500000</v>
      </c>
      <c r="M13" s="7">
        <f t="shared" si="1"/>
        <v>2250000</v>
      </c>
      <c r="N13" s="7">
        <f t="shared" si="1"/>
        <v>1800000</v>
      </c>
    </row>
    <row r="14" spans="1:14" x14ac:dyDescent="0.3">
      <c r="I14" s="7"/>
      <c r="J14" s="7"/>
      <c r="K14" s="7"/>
      <c r="L14" s="7"/>
      <c r="M14" s="7"/>
      <c r="N14" s="7"/>
    </row>
    <row r="15" spans="1:14" x14ac:dyDescent="0.3">
      <c r="B15" s="20" t="s">
        <v>123</v>
      </c>
      <c r="I15" s="7"/>
      <c r="J15" s="7"/>
      <c r="K15" s="7"/>
      <c r="L15" s="7"/>
      <c r="M15" s="7"/>
      <c r="N15" s="7"/>
    </row>
    <row r="16" spans="1:14" x14ac:dyDescent="0.3">
      <c r="B16" t="s">
        <v>35</v>
      </c>
      <c r="I16" s="7">
        <f>Workings!I78</f>
        <v>213369.86301369863</v>
      </c>
      <c r="J16" s="7">
        <f>Workings!J78</f>
        <v>249103.27472527476</v>
      </c>
      <c r="K16" s="7">
        <f>Workings!K78</f>
        <v>290146.56336373626</v>
      </c>
      <c r="L16" s="7">
        <f>Workings!L78</f>
        <v>338094.86992834084</v>
      </c>
      <c r="M16" s="7">
        <f>Workings!M78</f>
        <v>393053.42782181088</v>
      </c>
      <c r="N16" s="7">
        <f>Workings!N78</f>
        <v>459654.18436532089</v>
      </c>
    </row>
    <row r="17" spans="1:24" x14ac:dyDescent="0.3">
      <c r="B17" t="s">
        <v>126</v>
      </c>
      <c r="I17" s="7">
        <f>Workings!I80</f>
        <v>76643.835616438359</v>
      </c>
      <c r="J17" s="7">
        <f>Workings!J80</f>
        <v>87169.706043956045</v>
      </c>
      <c r="K17" s="7">
        <f>Workings!K80</f>
        <v>98903.315885439573</v>
      </c>
      <c r="L17" s="7">
        <f>Workings!L80</f>
        <v>112255.36629658593</v>
      </c>
      <c r="M17" s="7">
        <f>Workings!M80</f>
        <v>127105.84218133529</v>
      </c>
      <c r="N17" s="7">
        <f>Workings!N80</f>
        <v>144764.86748486361</v>
      </c>
    </row>
    <row r="18" spans="1:24" x14ac:dyDescent="0.3">
      <c r="A18" s="29"/>
      <c r="B18" s="29" t="s">
        <v>125</v>
      </c>
      <c r="C18" s="29"/>
      <c r="D18" s="29"/>
      <c r="E18" s="29"/>
      <c r="F18" s="29"/>
      <c r="G18" s="29"/>
      <c r="H18" s="29"/>
      <c r="I18" s="38">
        <f>'Statement of Cash Flows'!I33</f>
        <v>5806186.7797737811</v>
      </c>
      <c r="J18" s="38">
        <f>'Statement of Cash Flows'!J33</f>
        <v>5713982.7452573329</v>
      </c>
      <c r="K18" s="38">
        <f>'Statement of Cash Flows'!K33</f>
        <v>6183517.1452141637</v>
      </c>
      <c r="L18" s="38">
        <f>'Statement of Cash Flows'!L33</f>
        <v>7288447.7148436802</v>
      </c>
      <c r="M18" s="38">
        <f>'Statement of Cash Flows'!M33</f>
        <v>8973748.8584869746</v>
      </c>
      <c r="N18" s="38">
        <f>'Statement of Cash Flows'!N33</f>
        <v>11360851.611871976</v>
      </c>
    </row>
    <row r="19" spans="1:24" x14ac:dyDescent="0.3">
      <c r="B19" s="21" t="s">
        <v>127</v>
      </c>
      <c r="I19" s="7">
        <f>SUM(I16:I18)</f>
        <v>6096200.4784039184</v>
      </c>
      <c r="J19" s="7">
        <f t="shared" ref="J19:N19" si="2">SUM(J16:J18)</f>
        <v>6050255.7260265639</v>
      </c>
      <c r="K19" s="7">
        <f t="shared" si="2"/>
        <v>6572567.0244633397</v>
      </c>
      <c r="L19" s="7">
        <f t="shared" si="2"/>
        <v>7738797.9510686072</v>
      </c>
      <c r="M19" s="7">
        <f t="shared" si="2"/>
        <v>9493908.1284901202</v>
      </c>
      <c r="N19" s="7">
        <f t="shared" si="2"/>
        <v>11965270.663722161</v>
      </c>
    </row>
    <row r="20" spans="1:24" x14ac:dyDescent="0.3">
      <c r="I20" s="7"/>
      <c r="J20" s="7"/>
      <c r="K20" s="7"/>
      <c r="L20" s="7"/>
      <c r="M20" s="7"/>
      <c r="N20" s="7"/>
    </row>
    <row r="21" spans="1:24" ht="16.2" thickBot="1" x14ac:dyDescent="0.35">
      <c r="A21" s="12" t="s">
        <v>128</v>
      </c>
      <c r="B21" s="12"/>
      <c r="C21" s="12"/>
      <c r="D21" s="12"/>
      <c r="E21" s="12"/>
      <c r="F21" s="12"/>
      <c r="G21" s="12"/>
      <c r="H21" s="12"/>
      <c r="I21" s="13">
        <f>I19+I13</f>
        <v>13346200.478403918</v>
      </c>
      <c r="J21" s="13">
        <f t="shared" ref="J21:N21" si="3">J19+J13</f>
        <v>12050255.726026565</v>
      </c>
      <c r="K21" s="13">
        <f t="shared" si="3"/>
        <v>11322567.024463341</v>
      </c>
      <c r="L21" s="13">
        <f t="shared" si="3"/>
        <v>11238797.951068606</v>
      </c>
      <c r="M21" s="13">
        <f t="shared" si="3"/>
        <v>11743908.12849012</v>
      </c>
      <c r="N21" s="13">
        <f t="shared" si="3"/>
        <v>13765270.663722161</v>
      </c>
      <c r="R21" s="6"/>
    </row>
    <row r="22" spans="1:24" ht="16.2" thickTop="1" x14ac:dyDescent="0.3">
      <c r="I22" s="7"/>
      <c r="J22" s="7"/>
      <c r="K22" s="7"/>
      <c r="L22" s="7"/>
      <c r="M22" s="7"/>
      <c r="N22" s="7"/>
    </row>
    <row r="23" spans="1:24" x14ac:dyDescent="0.3">
      <c r="B23" s="20" t="s">
        <v>129</v>
      </c>
      <c r="I23" s="7"/>
      <c r="J23" s="7"/>
      <c r="K23" s="7"/>
      <c r="L23" s="7"/>
      <c r="M23" s="7"/>
      <c r="N23" s="7"/>
      <c r="Q23" s="35"/>
      <c r="R23" s="35"/>
      <c r="S23" s="35"/>
      <c r="T23" s="35"/>
      <c r="U23" s="35"/>
      <c r="V23" s="35"/>
      <c r="W23" s="35"/>
      <c r="X23" s="35"/>
    </row>
    <row r="24" spans="1:24" x14ac:dyDescent="0.3">
      <c r="A24" s="29"/>
      <c r="B24" s="29" t="s">
        <v>130</v>
      </c>
      <c r="C24" s="29"/>
      <c r="D24" s="29"/>
      <c r="E24" s="29"/>
      <c r="F24" s="29"/>
      <c r="G24" s="29"/>
      <c r="H24" s="29"/>
      <c r="I24" s="38">
        <f>Workings!I139</f>
        <v>5314578.5605956996</v>
      </c>
      <c r="J24" s="38">
        <f>Workings!J139</f>
        <v>4526343.905280754</v>
      </c>
      <c r="K24" s="38">
        <f>Workings!K139</f>
        <v>3619874.0516685667</v>
      </c>
      <c r="L24" s="38">
        <f>Workings!L139</f>
        <v>2577433.7200145512</v>
      </c>
      <c r="M24" s="38">
        <f>Workings!M139</f>
        <v>1378627.3386124335</v>
      </c>
      <c r="N24" s="38">
        <f>Workings!N139</f>
        <v>0</v>
      </c>
      <c r="Q24" s="36"/>
      <c r="R24" s="36"/>
      <c r="S24" s="36"/>
      <c r="T24" s="36"/>
      <c r="U24" s="36"/>
      <c r="V24" s="36"/>
      <c r="W24" s="36"/>
      <c r="X24" s="35"/>
    </row>
    <row r="25" spans="1:24" x14ac:dyDescent="0.3">
      <c r="B25" s="21" t="s">
        <v>139</v>
      </c>
      <c r="I25" s="7">
        <f>SUM(I24)</f>
        <v>5314578.5605956996</v>
      </c>
      <c r="J25" s="7">
        <f t="shared" ref="J25:N25" si="4">SUM(J24)</f>
        <v>4526343.905280754</v>
      </c>
      <c r="K25" s="7">
        <f t="shared" si="4"/>
        <v>3619874.0516685667</v>
      </c>
      <c r="L25" s="7">
        <f t="shared" si="4"/>
        <v>2577433.7200145512</v>
      </c>
      <c r="M25" s="7">
        <f t="shared" si="4"/>
        <v>1378627.3386124335</v>
      </c>
      <c r="N25" s="7">
        <f t="shared" si="4"/>
        <v>0</v>
      </c>
      <c r="Q25" s="36"/>
      <c r="R25" s="36"/>
      <c r="S25" s="36"/>
      <c r="T25" s="36"/>
      <c r="U25" s="36"/>
      <c r="V25" s="36"/>
      <c r="W25" s="36"/>
      <c r="X25" s="35"/>
    </row>
    <row r="26" spans="1:24" x14ac:dyDescent="0.3">
      <c r="I26" s="7"/>
      <c r="J26" s="7"/>
      <c r="K26" s="7"/>
      <c r="L26" s="7"/>
      <c r="M26" s="7"/>
      <c r="N26" s="7"/>
      <c r="Q26" s="35"/>
      <c r="R26" s="35"/>
      <c r="S26" s="35"/>
      <c r="T26" s="35"/>
      <c r="U26" s="35"/>
      <c r="V26" s="35"/>
      <c r="W26" s="35"/>
      <c r="X26" s="35"/>
    </row>
    <row r="27" spans="1:24" x14ac:dyDescent="0.3">
      <c r="B27" s="20" t="s">
        <v>131</v>
      </c>
      <c r="I27" s="7"/>
      <c r="J27" s="7"/>
      <c r="K27" s="7"/>
      <c r="L27" s="7"/>
      <c r="M27" s="7"/>
      <c r="N27" s="7"/>
      <c r="Q27" s="35"/>
      <c r="R27" s="35"/>
      <c r="S27" s="35"/>
      <c r="T27" s="35"/>
      <c r="U27" s="35"/>
      <c r="V27" s="35"/>
      <c r="W27" s="35"/>
      <c r="X27" s="35"/>
    </row>
    <row r="28" spans="1:24" x14ac:dyDescent="0.3">
      <c r="B28" t="s">
        <v>36</v>
      </c>
      <c r="I28" s="7">
        <f>Workings!I79</f>
        <v>128021.91780821916</v>
      </c>
      <c r="J28" s="7">
        <f>Workings!J79</f>
        <v>149461.96483516486</v>
      </c>
      <c r="K28" s="7">
        <f>Workings!K79</f>
        <v>174087.93801824178</v>
      </c>
      <c r="L28" s="7">
        <f>Workings!L79</f>
        <v>202856.92195700452</v>
      </c>
      <c r="M28" s="7">
        <f>Workings!M79</f>
        <v>235832.05669308655</v>
      </c>
      <c r="N28" s="7">
        <f>Workings!N79</f>
        <v>275792.51061919256</v>
      </c>
      <c r="Q28" s="35"/>
      <c r="R28" s="35"/>
      <c r="S28" s="35"/>
      <c r="T28" s="35"/>
      <c r="U28" s="35"/>
      <c r="V28" s="35"/>
      <c r="W28" s="35"/>
      <c r="X28" s="35"/>
    </row>
    <row r="29" spans="1:24" x14ac:dyDescent="0.3">
      <c r="A29" s="29"/>
      <c r="B29" s="29" t="s">
        <v>132</v>
      </c>
      <c r="C29" s="29"/>
      <c r="D29" s="29"/>
      <c r="E29" s="29"/>
      <c r="F29" s="29"/>
      <c r="G29" s="29"/>
      <c r="H29" s="29"/>
      <c r="I29" s="38">
        <f>'Income Statement'!I17</f>
        <v>0</v>
      </c>
      <c r="J29" s="38">
        <f>'Income Statement'!J17</f>
        <v>0</v>
      </c>
      <c r="K29" s="38">
        <f>'Income Statement'!K17</f>
        <v>46246.553659765923</v>
      </c>
      <c r="L29" s="38">
        <f>'Income Statement'!L17</f>
        <v>292844.64839408576</v>
      </c>
      <c r="M29" s="38">
        <f>'Income Statement'!M17</f>
        <v>589135.82174449053</v>
      </c>
      <c r="N29" s="38">
        <f>'Income Statement'!N17</f>
        <v>1184749.5724988582</v>
      </c>
    </row>
    <row r="30" spans="1:24" x14ac:dyDescent="0.3">
      <c r="B30" s="21" t="s">
        <v>133</v>
      </c>
      <c r="I30" s="7">
        <f>SUM(I28:I29)</f>
        <v>128021.91780821916</v>
      </c>
      <c r="J30" s="7">
        <f t="shared" ref="J30:N30" si="5">SUM(J28:J29)</f>
        <v>149461.96483516486</v>
      </c>
      <c r="K30" s="7">
        <f t="shared" si="5"/>
        <v>220334.4916780077</v>
      </c>
      <c r="L30" s="7">
        <f t="shared" si="5"/>
        <v>495701.57035109028</v>
      </c>
      <c r="M30" s="7">
        <f t="shared" si="5"/>
        <v>824967.87843757705</v>
      </c>
      <c r="N30" s="7">
        <f t="shared" si="5"/>
        <v>1460542.0831180508</v>
      </c>
    </row>
    <row r="31" spans="1:24" x14ac:dyDescent="0.3">
      <c r="I31" s="7"/>
      <c r="J31" s="7"/>
      <c r="K31" s="7"/>
      <c r="L31" s="7"/>
      <c r="M31" s="7"/>
      <c r="N31" s="7"/>
    </row>
    <row r="32" spans="1:24" x14ac:dyDescent="0.3">
      <c r="A32" s="20" t="s">
        <v>53</v>
      </c>
      <c r="B32" s="20"/>
      <c r="I32" s="7"/>
      <c r="J32" s="7"/>
      <c r="K32" s="7"/>
      <c r="L32" s="7"/>
      <c r="M32" s="7"/>
      <c r="N32" s="7"/>
    </row>
    <row r="33" spans="1:14" x14ac:dyDescent="0.3">
      <c r="B33" t="s">
        <v>134</v>
      </c>
      <c r="I33" s="7">
        <f>Workings!I145</f>
        <v>9000000</v>
      </c>
      <c r="J33" s="7">
        <f>Workings!J145</f>
        <v>9000000</v>
      </c>
      <c r="K33" s="7">
        <f>Workings!K145</f>
        <v>9000000</v>
      </c>
      <c r="L33" s="7">
        <f>Workings!L145</f>
        <v>9000000</v>
      </c>
      <c r="M33" s="7">
        <f>Workings!M145</f>
        <v>9000000</v>
      </c>
      <c r="N33" s="7">
        <f>Workings!N145</f>
        <v>9000000</v>
      </c>
    </row>
    <row r="34" spans="1:14" x14ac:dyDescent="0.3">
      <c r="B34" t="s">
        <v>135</v>
      </c>
      <c r="I34" s="7"/>
      <c r="J34" s="7"/>
      <c r="K34" s="7"/>
      <c r="L34" s="7"/>
      <c r="M34" s="7"/>
      <c r="N34" s="7"/>
    </row>
    <row r="35" spans="1:14" x14ac:dyDescent="0.3">
      <c r="A35" s="29"/>
      <c r="B35" s="29" t="s">
        <v>136</v>
      </c>
      <c r="C35" s="29"/>
      <c r="D35" s="29"/>
      <c r="E35" s="29"/>
      <c r="F35" s="29"/>
      <c r="G35" s="29"/>
      <c r="H35" s="29"/>
      <c r="I35" s="38">
        <f>Workings!I151</f>
        <v>-1096400</v>
      </c>
      <c r="J35" s="38">
        <f>Workings!J151</f>
        <v>-1625550.1440893544</v>
      </c>
      <c r="K35" s="38">
        <f>Workings!K151</f>
        <v>-1517641.5188832339</v>
      </c>
      <c r="L35" s="38">
        <f>Workings!L151</f>
        <v>-834337.33929703385</v>
      </c>
      <c r="M35" s="38">
        <f>Workings!M151</f>
        <v>540312.91144011077</v>
      </c>
      <c r="N35" s="38">
        <f>Workings!N151</f>
        <v>3304728.5806041136</v>
      </c>
    </row>
    <row r="36" spans="1:14" x14ac:dyDescent="0.3">
      <c r="B36" s="21" t="s">
        <v>137</v>
      </c>
      <c r="I36" s="7">
        <f>SUM(I33:I35)</f>
        <v>7903600</v>
      </c>
      <c r="J36" s="7">
        <f t="shared" ref="J36:N36" si="6">SUM(J33:J35)</f>
        <v>7374449.8559106458</v>
      </c>
      <c r="K36" s="7">
        <f t="shared" si="6"/>
        <v>7482358.4811167661</v>
      </c>
      <c r="L36" s="7">
        <f t="shared" si="6"/>
        <v>8165662.6607029662</v>
      </c>
      <c r="M36" s="7">
        <f t="shared" si="6"/>
        <v>9540312.9114401117</v>
      </c>
      <c r="N36" s="7">
        <f t="shared" si="6"/>
        <v>12304728.580604114</v>
      </c>
    </row>
    <row r="37" spans="1:14" x14ac:dyDescent="0.3">
      <c r="I37" s="7"/>
      <c r="J37" s="7"/>
      <c r="K37" s="7"/>
      <c r="L37" s="7"/>
      <c r="M37" s="7"/>
      <c r="N37" s="7"/>
    </row>
    <row r="38" spans="1:14" ht="16.2" thickBot="1" x14ac:dyDescent="0.35">
      <c r="A38" s="12"/>
      <c r="B38" s="12" t="s">
        <v>138</v>
      </c>
      <c r="C38" s="12"/>
      <c r="D38" s="12"/>
      <c r="E38" s="12"/>
      <c r="F38" s="12"/>
      <c r="G38" s="12"/>
      <c r="H38" s="12"/>
      <c r="I38" s="13">
        <f>I36+I30+I25</f>
        <v>13346200.478403918</v>
      </c>
      <c r="J38" s="13">
        <f t="shared" ref="J38:N38" si="7">J36+J30+J25</f>
        <v>12050255.726026565</v>
      </c>
      <c r="K38" s="13">
        <f t="shared" si="7"/>
        <v>11322567.024463341</v>
      </c>
      <c r="L38" s="13">
        <f t="shared" si="7"/>
        <v>11238797.951068608</v>
      </c>
      <c r="M38" s="13">
        <f t="shared" si="7"/>
        <v>11743908.128490122</v>
      </c>
      <c r="N38" s="13">
        <f t="shared" si="7"/>
        <v>13765270.663722165</v>
      </c>
    </row>
    <row r="39" spans="1:14" ht="16.2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Workings</vt:lpstr>
      <vt:lpstr>Income Statement</vt:lpstr>
      <vt:lpstr>Statement of Cash Flows</vt:lpstr>
      <vt:lpstr>SOFP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Opemipo Williams</dc:creator>
  <cp:lastModifiedBy>Opemipo Williams</cp:lastModifiedBy>
  <dcterms:created xsi:type="dcterms:W3CDTF">2025-12-27T08:46:53Z</dcterms:created>
  <dcterms:modified xsi:type="dcterms:W3CDTF">2025-12-29T10:22:36Z</dcterms:modified>
</cp:coreProperties>
</file>